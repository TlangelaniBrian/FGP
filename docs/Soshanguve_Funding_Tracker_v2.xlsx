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Cash Flow (Base)" sheetId="2" r:id="rId6"/>
    <sheet state="visible" name="Scenarios" sheetId="3" r:id="rId7"/>
    <sheet state="visible" name="Milestones" sheetId="4" r:id="rId8"/>
    <sheet state="visible" name="Decision Log" sheetId="5" r:id="rId9"/>
    <sheet state="visible" name="Weekly Check-In" sheetId="6" r:id="rId10"/>
  </sheets>
  <definedNames/>
  <calcPr/>
</workbook>
</file>

<file path=xl/sharedStrings.xml><?xml version="1.0" encoding="utf-8"?>
<sst xmlns="http://schemas.openxmlformats.org/spreadsheetml/2006/main" count="272" uniqueCount="197">
  <si>
    <t>SOSHANGUVE PROPERTY BUILD PROJECT</t>
  </si>
  <si>
    <t>Funding Strategy — Save-Then-Borrow | ERF 14201, Soshanguve South Ext 13</t>
  </si>
  <si>
    <t>KEY ASSUMPTIONS</t>
  </si>
  <si>
    <t>Monthly — Tlangelani (R)</t>
  </si>
  <si>
    <t>Monthly — Inathi (R)</t>
  </si>
  <si>
    <t>Combined monthly saving (R)</t>
  </si>
  <si>
    <t>Phase 1 total cost (R)</t>
  </si>
  <si>
    <t>Paperwork budget (transfer, plans, fees) (R)</t>
  </si>
  <si>
    <t>Construction loan target (R)</t>
  </si>
  <si>
    <t>Contingency held separately (R)</t>
  </si>
  <si>
    <t>PROJECT MILESTONES — BASE CASE (no lump sum)</t>
  </si>
  <si>
    <t>Date</t>
  </si>
  <si>
    <t>Month</t>
  </si>
  <si>
    <t>Milestone</t>
  </si>
  <si>
    <t>May 2026</t>
  </si>
  <si>
    <t>Month 1</t>
  </si>
  <si>
    <t>First R3,000 saved. Start attorney follow-up weekly cadence.</t>
  </si>
  <si>
    <t>Mar 2027</t>
  </si>
  <si>
    <t>Month 11</t>
  </si>
  <si>
    <t>~R33k saved. Paperwork funded: transfer, plans, municipal, survey.</t>
  </si>
  <si>
    <t>Apr 2028</t>
  </si>
  <si>
    <t>Month 24</t>
  </si>
  <si>
    <t>~R69k total saved, ~R39k balance post-paperwork. Loan-ready.</t>
  </si>
  <si>
    <t>Mid 2028</t>
  </si>
  <si>
    <t>Month 26</t>
  </si>
  <si>
    <t>Apply for building loan (R150–180k) against titled property.</t>
  </si>
  <si>
    <t>Late 2028</t>
  </si>
  <si>
    <t>Month 30</t>
  </si>
  <si>
    <t>Loan approved. BREAK GROUND. Phase 1a begins.</t>
  </si>
  <si>
    <t>End 2029</t>
  </si>
  <si>
    <t>Month 44</t>
  </si>
  <si>
    <t>Phase 1 complete. Unit habitable and rentable.</t>
  </si>
  <si>
    <t>SCENARIO COMPARISON — see 'Scenarios' tab</t>
  </si>
  <si>
    <t>Scenario</t>
  </si>
  <si>
    <t>Break Ground</t>
  </si>
  <si>
    <t>Total Project Cost</t>
  </si>
  <si>
    <t>Duration from Today</t>
  </si>
  <si>
    <t>Base case (R3k/mo, no lump sum)</t>
  </si>
  <si>
    <t>~R210k</t>
  </si>
  <si>
    <t>3 years</t>
  </si>
  <si>
    <t>+ R20k lump sum from Inathi (June 2026)</t>
  </si>
  <si>
    <t>2.5 years</t>
  </si>
  <si>
    <t>⚠  R20k lump sum is UNCONFIRMED — plan as if it does not arrive.</t>
  </si>
  <si>
    <t>CASH FLOW — BASE CASE (R1,500/person/month | No Lump Sum)</t>
  </si>
  <si>
    <t>Blue = inputs you can change  |  Black = formulas  |  Green = cross-sheet links</t>
  </si>
  <si>
    <t>Tlangelani (R)</t>
  </si>
  <si>
    <t>Inathi (R)</t>
  </si>
  <si>
    <t>Total In (R)</t>
  </si>
  <si>
    <t>Spend (R)</t>
  </si>
  <si>
    <t>Net (R)</t>
  </si>
  <si>
    <t>Cumulative Balance (R)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</si>
  <si>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</si>
  <si>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</si>
  <si>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</si>
  <si>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</si>
  <si>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</si>
  <si>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</si>
  <si>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</si>
  <si>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</si>
  <si>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</si>
  <si>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11 ★ Paperwork funded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</si>
  <si>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</si>
  <si>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</si>
  <si>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</si>
  <si>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</si>
  <si>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</si>
  <si>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</si>
  <si>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</si>
  <si>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</si>
  <si>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</si>
  <si>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Jan 2028</t>
  </si>
  <si>
    <t>Feb 2028</t>
  </si>
  <si>
    <t>Mar 2028</t>
  </si>
  <si>
    <t>24 ★ Loan-ready</t>
  </si>
  <si>
    <t>May 2028</t>
  </si>
  <si>
    <t>Jun 2028</t>
  </si>
  <si>
    <t>Jul 2028</t>
  </si>
  <si>
    <t>Aug 2028</t>
  </si>
  <si>
    <t>Sep 2028</t>
  </si>
  <si>
    <t>30 ★ TARGET: Break ground</t>
  </si>
  <si>
    <t>Oct 2028</t>
  </si>
  <si>
    <t>Nov 2028</t>
  </si>
  <si>
    <t>Dec 2028</t>
  </si>
  <si>
    <t>Jan 2029</t>
  </si>
  <si>
    <t>Feb 2029</t>
  </si>
  <si>
    <t>Mar 2029</t>
  </si>
  <si>
    <t>Apr 2029</t>
  </si>
  <si>
    <t>TOTAL (36 months)</t>
  </si>
  <si>
    <t>PAPERWORK SPEND SCHEDULE (Base Case)</t>
  </si>
  <si>
    <t>Month 3</t>
  </si>
  <si>
    <t>Transfer costs (partial)</t>
  </si>
  <si>
    <t>Month 5</t>
  </si>
  <si>
    <t>Transfer costs (final) + Survey</t>
  </si>
  <si>
    <t>Month 7</t>
  </si>
  <si>
    <t>Architectural plans</t>
  </si>
  <si>
    <t>Month 9</t>
  </si>
  <si>
    <t>Municipal connection application</t>
  </si>
  <si>
    <t>Misc admin, approvals</t>
  </si>
  <si>
    <t>SCENARIO COMPARISON</t>
  </si>
  <si>
    <t>Toggle the R20k lump sum on/off to see its impact on the project timeline</t>
  </si>
  <si>
    <t>BASE CASE</t>
  </si>
  <si>
    <t>+ R20,000 LUMP SUM (June 2026)</t>
  </si>
  <si>
    <t>Monthly saving (combined)</t>
  </si>
  <si>
    <t>R3,000</t>
  </si>
  <si>
    <t>One-off lump sum</t>
  </si>
  <si>
    <t>R10000</t>
  </si>
  <si>
    <t>R20,000 (Inathi, unconfirmed)</t>
  </si>
  <si>
    <t>Savings by Sep 2026 (5 mo)</t>
  </si>
  <si>
    <t>R15,000</t>
  </si>
  <si>
    <t>R35,000 (incl. lump sum)</t>
  </si>
  <si>
    <t>Paperwork fully funded by</t>
  </si>
  <si>
    <t>March 2027</t>
  </si>
  <si>
    <t>September 2026</t>
  </si>
  <si>
    <t>Savings buffer after paperwork</t>
  </si>
  <si>
    <t>~R3,000</t>
  </si>
  <si>
    <t>~R20,000</t>
  </si>
  <si>
    <t>Loan-ready milestone</t>
  </si>
  <si>
    <t>April 2028</t>
  </si>
  <si>
    <t>October 2027</t>
  </si>
  <si>
    <t>Building loan applied</t>
  </si>
  <si>
    <t>Late 2027</t>
  </si>
  <si>
    <t>TARGET: Break ground</t>
  </si>
  <si>
    <t>Early 2028</t>
  </si>
  <si>
    <t>Phase 1 complete</t>
  </si>
  <si>
    <t>Mid 2029</t>
  </si>
  <si>
    <t>Time saved vs base</t>
  </si>
  <si>
    <t>—</t>
  </si>
  <si>
    <t>~6 months</t>
  </si>
  <si>
    <t>Risk if lump sum doesn't arrive</t>
  </si>
  <si>
    <t>N/A</t>
  </si>
  <si>
    <t>Plan falls back to base case</t>
  </si>
  <si>
    <t>⚠  IMPORTANT: Treat the R20k lump sum as a bonus, not a plan. The base case is the commitment. If R20k lands in June, redeploy it to paperwork immediately — do not save it for later use. That's what pulls the timeline forward.</t>
  </si>
  <si>
    <t>PROJECT MILESTONES &amp; ACTION TRACKER</t>
  </si>
  <si>
    <t>Updated: April 2026  |  Owner: Tlangelani (finance/legal) &amp; Inathi (site/local)</t>
  </si>
  <si>
    <t>Target Date</t>
  </si>
  <si>
    <t>Status</t>
  </si>
  <si>
    <t>Milestone / Action</t>
  </si>
  <si>
    <t>Owner</t>
  </si>
  <si>
    <t>Apr–May 2026</t>
  </si>
  <si>
    <t>IN PROGRESS</t>
  </si>
  <si>
    <t>Property transfer registers via Andrew Thomas Attorneys (Cassius Chauke)</t>
  </si>
  <si>
    <t>Tlangelani</t>
  </si>
  <si>
    <t>Open joint savings account — first R3,000 deposited on pay day</t>
  </si>
  <si>
    <t>Both</t>
  </si>
  <si>
    <t>PENDING</t>
  </si>
  <si>
    <t>Weekly attorney follow-up every Friday (email Cassius, log response)</t>
  </si>
  <si>
    <t>Get 2–3 quotes for architectural plans from local draughtspersons</t>
  </si>
  <si>
    <t>Inathi</t>
  </si>
  <si>
    <t>Confirm or deny R20k lump sum — update Scenarios tab accordingly</t>
  </si>
  <si>
    <t>Transfer registered — obtain title deed, update Decision Log</t>
  </si>
  <si>
    <t>Appoint draughtsperson, sign brief for architectural plans</t>
  </si>
  <si>
    <t>Architectural plans submitted to municipality for approval</t>
  </si>
  <si>
    <t>★ MILESTONE: Paperwork fully funded (~R30k spent). Plans approved.</t>
  </si>
  <si>
    <t>Begin building 'book' — get 3 contractor quotes for Phase 1a shell</t>
  </si>
  <si>
    <t>Shift savings focus to building fund (R3k/mo to loan war chest)</t>
  </si>
  <si>
    <t>★ MILESTONE: Loan-ready — ~R39k balance, titled property, approved plans</t>
  </si>
  <si>
    <t>Apply for building loan (R150–180k) — NHFC or commercial bank</t>
  </si>
  <si>
    <t>★ MILESTONE: Loan approved. Appoint contractor. Sign contract.</t>
  </si>
  <si>
    <t>★ BREAK GROUND — Phase 1a begins (watertight shell, R120k)</t>
  </si>
  <si>
    <t>Phase 1a complete. Site inspection. Phase 1b begins (habitable).</t>
  </si>
  <si>
    <t>Jun 2029</t>
  </si>
  <si>
    <t>Phase 1b complete. Electricity/water connected. Phase 1c begins.</t>
  </si>
  <si>
    <t>Sep 2029</t>
  </si>
  <si>
    <t>★ Phase 1 COMPLETE — unit rentable. First rental income.</t>
  </si>
  <si>
    <t>DECISION LOG</t>
  </si>
  <si>
    <t>Authoritative record of project decisions | Update before each Sunday call</t>
  </si>
  <si>
    <t>Decision</t>
  </si>
  <si>
    <t>Rationale</t>
  </si>
  <si>
    <t>Impact / Notes</t>
  </si>
  <si>
    <t>Apr 2026</t>
  </si>
  <si>
    <t>Adopted Minimum Viable Shell strategy — Phase 1 = watertight shell only</t>
  </si>
  <si>
    <t>Both have full-time jobs; smaller scope = faster completion and less contractor risk</t>
  </si>
  <si>
    <t>Phase 1 budget R210k; sub-phases 1a/1b/1c defined</t>
  </si>
  <si>
    <t>Monthly contribution set at R1,500 each (R3,000 combined)</t>
  </si>
  <si>
    <t>Reflects realistic disposable income; leaves headroom for personal obligations</t>
  </si>
  <si>
    <t>Previous R8,500 figure was aspirational — revised down to lockable baseline</t>
  </si>
  <si>
    <t>Save-then-borrow strategy adopted</t>
  </si>
  <si>
    <t>At R3k/mo cash-only, Phase 1 takes 70 months. Borrow R150–180k against titled asset in 2028.</t>
  </si>
  <si>
    <t>Saves ~3 years vs pure cash build. Requires titled property + approved plans for loan</t>
  </si>
  <si>
    <t>R20k lump sum (Inathi) treated as UNCONFIRMED — not in base plan</t>
  </si>
  <si>
    <t>Unconfirmed lump sums that enter base plan become crises when they don't arrive</t>
  </si>
  <si>
    <t>If confirmed, deploy immediately to paperwork. See Scenarios tab for impact</t>
  </si>
  <si>
    <t>Groundbreaking target: Oct 2028 (base case)</t>
  </si>
  <si>
    <t>18–24 months savings for paperwork + 6 months loan process</t>
  </si>
  <si>
    <t>With R20k lump sum: could pull to Early 2028</t>
  </si>
  <si>
    <t>WEEKLY CHECK-IN TEMPLATE</t>
  </si>
  <si>
    <t>Sunday 19:00 call | 30 minutes | Copy a new block each week</t>
  </si>
  <si>
    <t>WEEK OF:</t>
  </si>
  <si>
    <t>Attorney status (transfer)</t>
  </si>
  <si>
    <t>(Cassius contacted? Response received?)</t>
  </si>
  <si>
    <t>Savings confirmed</t>
  </si>
  <si>
    <t>(Both deposits made this month?)</t>
  </si>
  <si>
    <t>Supplier / quote progress</t>
  </si>
  <si>
    <t>(Any quotes received this week?)</t>
  </si>
  <si>
    <t>Open issues / blockers</t>
  </si>
  <si>
    <t>Actions before next call</t>
  </si>
  <si>
    <t>Decisions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</si>
</sst>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10.0"/>
      <color rgb="FF000000"/>
      <name val="Arial"/>
    </font>
    <font>
      <sz val="10.0"/>
      <color rgb="FF0000FF"/>
      <name val="Arial"/>
    </font>
    <font>
      <b/>
      <sz val="10.0"/>
      <color rgb="FF000000"/>
      <name val="Arial"/>
    </font>
    <font>
      <b/>
      <sz val="10.0"/>
      <color rgb="FFC00000"/>
      <name val="Arial"/>
    </font>
    <font>
      <b/>
      <sz val="12.0"/>
      <color rgb="FFFFFFFF"/>
      <name val="Arial"/>
    </font>
    <font>
      <b/>
      <sz val="9.0"/>
      <color rgb="FFFFFFFF"/>
      <name val="Arial"/>
    </font>
    <font>
      <sz val="10.0"/>
      <color rgb="FFC00000"/>
      <name val="Arial"/>
    </font>
    <font>
      <b/>
      <sz val="9.0"/>
      <color rgb="FF008000"/>
      <name val="Arial"/>
    </font>
    <font>
      <b/>
      <sz val="13.0"/>
      <color rgb="FFFFFFFF"/>
      <name val="Arial"/>
    </font>
    <font>
      <b/>
      <sz val="11.0"/>
      <color rgb="FFFFFFFF"/>
      <name val="Arial"/>
    </font>
    <font>
      <b/>
      <sz val="9.0"/>
      <color rgb="FFC9A84C"/>
      <name val="Arial"/>
    </font>
    <font>
      <b/>
      <sz val="9.0"/>
      <color rgb="FF888888"/>
      <name val="Arial"/>
    </font>
    <font>
      <i/>
      <sz val="9.0"/>
      <color rgb="FF888888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C9A84C"/>
        <bgColor rgb="FFC9A84C"/>
      </patternFill>
    </fill>
    <fill>
      <patternFill patternType="solid">
        <fgColor rgb="FFEEF2F7"/>
        <bgColor rgb="FFEEF2F7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4E6B35"/>
        <bgColor rgb="FF4E6B35"/>
      </patternFill>
    </fill>
    <fill>
      <patternFill patternType="solid">
        <fgColor rgb="FFD9EAD3"/>
        <bgColor rgb="FFD9EAD3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left" shrinkToFit="0" vertical="center" wrapText="0"/>
    </xf>
    <xf borderId="5" fillId="0" fontId="3" numFmtId="0" xfId="0" applyBorder="1" applyFont="1"/>
    <xf borderId="6" fillId="0" fontId="3" numFmtId="0" xfId="0" applyBorder="1" applyFont="1"/>
    <xf borderId="7" fillId="4" fontId="5" numFmtId="0" xfId="0" applyAlignment="1" applyBorder="1" applyFill="1" applyFont="1">
      <alignment horizontal="left" shrinkToFit="0" vertical="center" wrapText="0"/>
    </xf>
    <xf borderId="4" fillId="5" fontId="6" numFmtId="0" xfId="0" applyAlignment="1" applyBorder="1" applyFill="1" applyFont="1">
      <alignment horizontal="right" shrinkToFit="0" vertical="center" wrapText="0"/>
    </xf>
    <xf borderId="7" fillId="5" fontId="5" numFmtId="0" xfId="0" applyAlignment="1" applyBorder="1" applyFont="1">
      <alignment horizontal="left" shrinkToFit="0" vertical="center" wrapText="0"/>
    </xf>
    <xf borderId="4" fillId="5" fontId="5" numFmtId="0" xfId="0" applyAlignment="1" applyBorder="1" applyFont="1">
      <alignment horizontal="right" shrinkToFit="0" vertical="center" wrapText="0"/>
    </xf>
    <xf borderId="7" fillId="3" fontId="4" numFmtId="0" xfId="0" applyAlignment="1" applyBorder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7" fillId="4" fontId="5" numFmtId="0" xfId="0" applyAlignment="1" applyBorder="1" applyFont="1">
      <alignment horizontal="center" shrinkToFit="0" vertical="center" wrapText="0"/>
    </xf>
    <xf borderId="4" fillId="4" fontId="5" numFmtId="0" xfId="0" applyAlignment="1" applyBorder="1" applyFont="1">
      <alignment horizontal="left" shrinkToFit="0" vertical="center" wrapText="1"/>
    </xf>
    <xf borderId="7" fillId="5" fontId="5" numFmtId="0" xfId="0" applyAlignment="1" applyBorder="1" applyFont="1">
      <alignment horizontal="center" shrinkToFit="0" vertical="center" wrapText="0"/>
    </xf>
    <xf borderId="4" fillId="5" fontId="5" numFmtId="0" xfId="0" applyAlignment="1" applyBorder="1" applyFont="1">
      <alignment horizontal="left" shrinkToFit="0" vertical="center" wrapText="1"/>
    </xf>
    <xf borderId="4" fillId="3" fontId="4" numFmtId="0" xfId="0" applyAlignment="1" applyBorder="1" applyFont="1">
      <alignment horizontal="left" shrinkToFit="0" vertical="center" wrapText="0"/>
    </xf>
    <xf borderId="7" fillId="4" fontId="7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horizontal="center" shrinkToFit="0" vertical="center" wrapText="0"/>
    </xf>
    <xf borderId="7" fillId="6" fontId="5" numFmtId="0" xfId="0" applyAlignment="1" applyBorder="1" applyFill="1" applyFont="1">
      <alignment horizontal="left" shrinkToFit="0" vertical="center" wrapText="1"/>
    </xf>
    <xf borderId="7" fillId="6" fontId="5" numFmtId="0" xfId="0" applyAlignment="1" applyBorder="1" applyFont="1">
      <alignment horizontal="center" shrinkToFit="0" vertical="center" wrapText="0"/>
    </xf>
    <xf borderId="4" fillId="6" fontId="5" numFmtId="0" xfId="0" applyAlignment="1" applyBorder="1" applyFont="1">
      <alignment horizontal="center" shrinkToFit="0" vertical="center" wrapText="0"/>
    </xf>
    <xf borderId="7" fillId="7" fontId="5" numFmtId="0" xfId="0" applyAlignment="1" applyBorder="1" applyFill="1" applyFont="1">
      <alignment horizontal="left" shrinkToFit="0" vertical="center" wrapText="1"/>
    </xf>
    <xf borderId="7" fillId="7" fontId="5" numFmtId="0" xfId="0" applyAlignment="1" applyBorder="1" applyFont="1">
      <alignment horizontal="center" shrinkToFit="0" vertical="center" wrapText="0"/>
    </xf>
    <xf borderId="4" fillId="7" fontId="5" numFmtId="0" xfId="0" applyAlignment="1" applyBorder="1" applyFont="1">
      <alignment horizontal="center" shrinkToFit="0" vertical="center" wrapText="0"/>
    </xf>
    <xf borderId="4" fillId="7" fontId="8" numFmtId="0" xfId="0" applyAlignment="1" applyBorder="1" applyFont="1">
      <alignment horizontal="left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1" fillId="3" fontId="10" numFmtId="0" xfId="0" applyAlignment="1" applyBorder="1" applyFont="1">
      <alignment horizontal="center" shrinkToFit="0" vertical="center" wrapText="0"/>
    </xf>
    <xf borderId="7" fillId="5" fontId="6" numFmtId="0" xfId="0" applyAlignment="1" applyBorder="1" applyFont="1">
      <alignment horizontal="right" shrinkToFit="0" vertical="center" wrapText="0"/>
    </xf>
    <xf borderId="7" fillId="5" fontId="5" numFmtId="0" xfId="0" applyAlignment="1" applyBorder="1" applyFont="1">
      <alignment horizontal="right" shrinkToFit="0" vertical="center" wrapText="0"/>
    </xf>
    <xf borderId="7" fillId="4" fontId="6" numFmtId="0" xfId="0" applyAlignment="1" applyBorder="1" applyFont="1">
      <alignment horizontal="right" shrinkToFit="0" vertical="center" wrapText="0"/>
    </xf>
    <xf borderId="7" fillId="4" fontId="5" numFmtId="0" xfId="0" applyAlignment="1" applyBorder="1" applyFont="1">
      <alignment horizontal="right" shrinkToFit="0" vertical="center" wrapText="0"/>
    </xf>
    <xf borderId="7" fillId="7" fontId="11" numFmtId="0" xfId="0" applyAlignment="1" applyBorder="1" applyFont="1">
      <alignment horizontal="right" shrinkToFit="0" vertical="center" wrapText="0"/>
    </xf>
    <xf borderId="7" fillId="5" fontId="12" numFmtId="0" xfId="0" applyAlignment="1" applyBorder="1" applyFont="1">
      <alignment horizontal="left" shrinkToFit="0" vertical="bottom" wrapText="1"/>
    </xf>
    <xf borderId="7" fillId="6" fontId="5" numFmtId="0" xfId="0" applyAlignment="1" applyBorder="1" applyFont="1">
      <alignment horizontal="right" shrinkToFit="0" vertical="center" wrapText="0"/>
    </xf>
    <xf borderId="7" fillId="4" fontId="12" numFmtId="0" xfId="0" applyAlignment="1" applyBorder="1" applyFont="1">
      <alignment horizontal="left" shrinkToFit="0" vertical="bottom" wrapText="1"/>
    </xf>
    <xf borderId="7" fillId="2" fontId="4" numFmtId="0" xfId="0" applyAlignment="1" applyBorder="1" applyFont="1">
      <alignment horizontal="right" shrinkToFit="0" vertical="center" wrapText="0"/>
    </xf>
    <xf borderId="7" fillId="2" fontId="5" numFmtId="0" xfId="0" applyAlignment="1" applyBorder="1" applyFont="1">
      <alignment horizontal="right" shrinkToFit="0" vertical="center" wrapText="0"/>
    </xf>
    <xf borderId="4" fillId="7" fontId="5" numFmtId="0" xfId="0" applyAlignment="1" applyBorder="1" applyFont="1">
      <alignment horizontal="left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4" fillId="2" fontId="14" numFmtId="0" xfId="0" applyAlignment="1" applyBorder="1" applyFont="1">
      <alignment horizontal="center" shrinkToFit="0" vertical="center" wrapText="0"/>
    </xf>
    <xf borderId="4" fillId="8" fontId="14" numFmtId="0" xfId="0" applyAlignment="1" applyBorder="1" applyFill="1" applyFont="1">
      <alignment horizontal="center" shrinkToFit="0" vertical="center" wrapText="0"/>
    </xf>
    <xf borderId="7" fillId="9" fontId="5" numFmtId="0" xfId="0" applyAlignment="1" applyBorder="1" applyFill="1" applyFont="1">
      <alignment horizontal="left" shrinkToFit="0" vertical="center" wrapText="0"/>
    </xf>
    <xf borderId="7" fillId="9" fontId="5" numFmtId="0" xfId="0" applyAlignment="1" applyBorder="1" applyFont="1">
      <alignment horizontal="center" shrinkToFit="0" vertical="center" wrapText="0"/>
    </xf>
    <xf borderId="7" fillId="5" fontId="5" numFmtId="0" xfId="0" applyAlignment="1" applyBorder="1" applyFont="1">
      <alignment horizontal="center" readingOrder="0" shrinkToFit="0" vertical="center" wrapText="0"/>
    </xf>
    <xf borderId="7" fillId="6" fontId="5" numFmtId="0" xfId="0" applyAlignment="1" applyBorder="1" applyFont="1">
      <alignment horizontal="left" shrinkToFit="0" vertical="center" wrapText="0"/>
    </xf>
    <xf borderId="7" fillId="0" fontId="1" numFmtId="0" xfId="0" applyAlignment="1" applyBorder="1" applyFont="1">
      <alignment shrinkToFit="0" vertical="bottom" wrapText="0"/>
    </xf>
    <xf borderId="4" fillId="7" fontId="8" numFmtId="0" xfId="0" applyAlignment="1" applyBorder="1" applyFont="1">
      <alignment horizontal="left" shrinkToFit="0" vertical="center" wrapText="1"/>
    </xf>
    <xf borderId="7" fillId="7" fontId="15" numFmtId="0" xfId="0" applyAlignment="1" applyBorder="1" applyFont="1">
      <alignment horizontal="center" shrinkToFit="0" vertical="center" wrapText="0"/>
    </xf>
    <xf borderId="7" fillId="4" fontId="16" numFmtId="0" xfId="0" applyAlignment="1" applyBorder="1" applyFont="1">
      <alignment horizontal="center" shrinkToFit="0" vertical="center" wrapText="0"/>
    </xf>
    <xf borderId="7" fillId="4" fontId="5" numFmtId="0" xfId="0" applyAlignment="1" applyBorder="1" applyFont="1">
      <alignment horizontal="left" shrinkToFit="0" vertical="center" wrapText="1"/>
    </xf>
    <xf borderId="7" fillId="7" fontId="16" numFmtId="0" xfId="0" applyAlignment="1" applyBorder="1" applyFont="1">
      <alignment horizontal="center" shrinkToFit="0" vertical="center" wrapText="0"/>
    </xf>
    <xf borderId="7" fillId="5" fontId="16" numFmtId="0" xfId="0" applyAlignment="1" applyBorder="1" applyFont="1">
      <alignment horizontal="center" shrinkToFit="0" vertical="center" wrapText="0"/>
    </xf>
    <xf borderId="7" fillId="5" fontId="5" numFmtId="0" xfId="0" applyAlignment="1" applyBorder="1" applyFont="1">
      <alignment horizontal="left" shrinkToFit="0" vertical="center" wrapText="1"/>
    </xf>
    <xf borderId="7" fillId="6" fontId="16" numFmtId="0" xfId="0" applyAlignment="1" applyBorder="1" applyFont="1">
      <alignment horizontal="center" shrinkToFit="0" vertical="center" wrapText="0"/>
    </xf>
    <xf borderId="8" fillId="5" fontId="5" numFmtId="0" xfId="0" applyAlignment="1" applyBorder="1" applyFont="1">
      <alignment horizontal="left" shrinkToFit="0" vertical="center" wrapText="0"/>
    </xf>
    <xf borderId="4" fillId="5" fontId="1" numFmtId="0" xfId="0" applyAlignment="1" applyBorder="1" applyFont="1">
      <alignment shrinkToFit="0" vertical="bottom" wrapText="0"/>
    </xf>
    <xf borderId="4" fillId="4" fontId="5" numFmtId="0" xfId="0" applyAlignment="1" applyBorder="1" applyFont="1">
      <alignment horizontal="left" shrinkToFit="0" vertical="center" wrapText="0"/>
    </xf>
    <xf borderId="4" fillId="4" fontId="17" numFmtId="0" xfId="0" applyAlignment="1" applyBorder="1" applyFont="1">
      <alignment horizontal="left" shrinkToFit="0" vertical="center" wrapText="0"/>
    </xf>
    <xf borderId="4" fillId="5" fontId="5" numFmtId="0" xfId="0" applyAlignment="1" applyBorder="1" applyFont="1">
      <alignment horizontal="left" shrinkToFit="0" vertical="center" wrapText="0"/>
    </xf>
    <xf borderId="4" fillId="5" fontId="17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6" width="20.0"/>
    <col customWidth="1" min="7" max="26" width="8.71"/>
  </cols>
  <sheetData>
    <row r="1" ht="27.75" customHeight="1">
      <c r="A1" s="1"/>
      <c r="B1" s="2" t="s">
        <v>0</v>
      </c>
      <c r="C1" s="3"/>
      <c r="D1" s="3"/>
      <c r="E1" s="3"/>
      <c r="F1" s="4"/>
      <c r="G1" s="1"/>
    </row>
    <row r="2" ht="18.0" customHeight="1">
      <c r="A2" s="1"/>
      <c r="B2" s="5" t="s">
        <v>1</v>
      </c>
      <c r="C2" s="3"/>
      <c r="D2" s="3"/>
      <c r="E2" s="3"/>
      <c r="F2" s="4"/>
      <c r="G2" s="1"/>
    </row>
    <row r="3" ht="7.5" customHeight="1">
      <c r="A3" s="1"/>
      <c r="B3" s="1"/>
      <c r="C3" s="1"/>
      <c r="D3" s="1"/>
      <c r="E3" s="1"/>
      <c r="F3" s="1"/>
      <c r="G3" s="1"/>
    </row>
    <row r="4" ht="19.5" customHeight="1">
      <c r="A4" s="1"/>
      <c r="B4" s="6" t="s">
        <v>2</v>
      </c>
      <c r="C4" s="7"/>
      <c r="D4" s="7"/>
      <c r="E4" s="7"/>
      <c r="F4" s="8"/>
      <c r="G4" s="1"/>
    </row>
    <row r="5" ht="18.0" customHeight="1">
      <c r="A5" s="1"/>
      <c r="B5" s="9" t="s">
        <v>3</v>
      </c>
      <c r="C5" s="10">
        <v>1500.0</v>
      </c>
      <c r="D5" s="7"/>
      <c r="E5" s="7"/>
      <c r="F5" s="8"/>
      <c r="G5" s="1"/>
    </row>
    <row r="6" ht="18.0" customHeight="1">
      <c r="A6" s="1"/>
      <c r="B6" s="11" t="s">
        <v>4</v>
      </c>
      <c r="C6" s="10">
        <v>1500.0</v>
      </c>
      <c r="D6" s="7"/>
      <c r="E6" s="7"/>
      <c r="F6" s="8"/>
      <c r="G6" s="1"/>
    </row>
    <row r="7" ht="18.0" customHeight="1">
      <c r="A7" s="1"/>
      <c r="B7" s="9" t="s">
        <v>5</v>
      </c>
      <c r="C7" s="12">
        <f>C5+C6</f>
        <v>3000</v>
      </c>
      <c r="D7" s="7"/>
      <c r="E7" s="7"/>
      <c r="F7" s="8"/>
      <c r="G7" s="1"/>
    </row>
    <row r="8" ht="18.0" customHeight="1">
      <c r="A8" s="1"/>
      <c r="B8" s="11" t="s">
        <v>6</v>
      </c>
      <c r="C8" s="10">
        <v>210000.0</v>
      </c>
      <c r="D8" s="7"/>
      <c r="E8" s="7"/>
      <c r="F8" s="8"/>
      <c r="G8" s="1"/>
    </row>
    <row r="9" ht="18.0" customHeight="1">
      <c r="A9" s="1"/>
      <c r="B9" s="9" t="s">
        <v>7</v>
      </c>
      <c r="C9" s="10">
        <v>30000.0</v>
      </c>
      <c r="D9" s="7"/>
      <c r="E9" s="7"/>
      <c r="F9" s="8"/>
      <c r="G9" s="1"/>
    </row>
    <row r="10" ht="18.0" customHeight="1">
      <c r="A10" s="1"/>
      <c r="B10" s="11" t="s">
        <v>8</v>
      </c>
      <c r="C10" s="10">
        <v>165000.0</v>
      </c>
      <c r="D10" s="7"/>
      <c r="E10" s="7"/>
      <c r="F10" s="8"/>
      <c r="G10" s="1"/>
    </row>
    <row r="11" ht="18.0" customHeight="1">
      <c r="A11" s="1"/>
      <c r="B11" s="9" t="s">
        <v>9</v>
      </c>
      <c r="C11" s="10">
        <v>21000.0</v>
      </c>
      <c r="D11" s="7"/>
      <c r="E11" s="7"/>
      <c r="F11" s="8"/>
      <c r="G11" s="1"/>
    </row>
    <row r="12" ht="7.5" customHeight="1">
      <c r="A12" s="1"/>
      <c r="B12" s="1"/>
      <c r="C12" s="1"/>
      <c r="D12" s="1"/>
      <c r="E12" s="1"/>
      <c r="F12" s="1"/>
      <c r="G12" s="1"/>
    </row>
    <row r="13" ht="19.5" customHeight="1">
      <c r="A13" s="1"/>
      <c r="B13" s="6" t="s">
        <v>10</v>
      </c>
      <c r="C13" s="7"/>
      <c r="D13" s="7"/>
      <c r="E13" s="7"/>
      <c r="F13" s="8"/>
      <c r="G13" s="1"/>
    </row>
    <row r="14" ht="15.0" customHeight="1">
      <c r="A14" s="1"/>
      <c r="B14" s="13" t="s">
        <v>11</v>
      </c>
      <c r="C14" s="13" t="s">
        <v>12</v>
      </c>
      <c r="D14" s="14" t="s">
        <v>13</v>
      </c>
      <c r="E14" s="7"/>
      <c r="F14" s="8"/>
      <c r="G14" s="1"/>
    </row>
    <row r="15" ht="21.75" customHeight="1">
      <c r="A15" s="1"/>
      <c r="B15" s="15" t="s">
        <v>14</v>
      </c>
      <c r="C15" s="15" t="s">
        <v>15</v>
      </c>
      <c r="D15" s="16" t="s">
        <v>16</v>
      </c>
      <c r="E15" s="7"/>
      <c r="F15" s="8"/>
      <c r="G15" s="1"/>
    </row>
    <row r="16" ht="21.75" customHeight="1">
      <c r="A16" s="1"/>
      <c r="B16" s="17" t="s">
        <v>17</v>
      </c>
      <c r="C16" s="17" t="s">
        <v>18</v>
      </c>
      <c r="D16" s="18" t="s">
        <v>19</v>
      </c>
      <c r="E16" s="7"/>
      <c r="F16" s="8"/>
      <c r="G16" s="1"/>
    </row>
    <row r="17" ht="21.75" customHeight="1">
      <c r="A17" s="1"/>
      <c r="B17" s="15" t="s">
        <v>20</v>
      </c>
      <c r="C17" s="15" t="s">
        <v>21</v>
      </c>
      <c r="D17" s="16" t="s">
        <v>22</v>
      </c>
      <c r="E17" s="7"/>
      <c r="F17" s="8"/>
      <c r="G17" s="1"/>
    </row>
    <row r="18" ht="21.75" customHeight="1">
      <c r="A18" s="1"/>
      <c r="B18" s="17" t="s">
        <v>23</v>
      </c>
      <c r="C18" s="17" t="s">
        <v>24</v>
      </c>
      <c r="D18" s="18" t="s">
        <v>25</v>
      </c>
      <c r="E18" s="7"/>
      <c r="F18" s="8"/>
      <c r="G18" s="1"/>
    </row>
    <row r="19" ht="21.75" customHeight="1">
      <c r="A19" s="1"/>
      <c r="B19" s="15" t="s">
        <v>26</v>
      </c>
      <c r="C19" s="15" t="s">
        <v>27</v>
      </c>
      <c r="D19" s="16" t="s">
        <v>28</v>
      </c>
      <c r="E19" s="7"/>
      <c r="F19" s="8"/>
      <c r="G19" s="1"/>
    </row>
    <row r="20">
      <c r="A20" s="1"/>
      <c r="B20" s="17" t="s">
        <v>29</v>
      </c>
      <c r="C20" s="17" t="s">
        <v>30</v>
      </c>
      <c r="D20" s="18" t="s">
        <v>31</v>
      </c>
      <c r="E20" s="7"/>
      <c r="F20" s="8"/>
      <c r="G20" s="1"/>
    </row>
    <row r="21" ht="7.5" customHeight="1">
      <c r="A21" s="1"/>
      <c r="B21" s="1"/>
      <c r="C21" s="1"/>
      <c r="D21" s="1"/>
      <c r="E21" s="1"/>
      <c r="F21" s="1"/>
      <c r="G21" s="1"/>
    </row>
    <row r="22" ht="19.5" customHeight="1">
      <c r="A22" s="1"/>
      <c r="B22" s="19" t="s">
        <v>32</v>
      </c>
      <c r="C22" s="7"/>
      <c r="D22" s="7"/>
      <c r="E22" s="7"/>
      <c r="F22" s="8"/>
      <c r="G22" s="1"/>
    </row>
    <row r="23" ht="15.0" customHeight="1">
      <c r="A23" s="1"/>
      <c r="B23" s="20" t="s">
        <v>33</v>
      </c>
      <c r="C23" s="20" t="s">
        <v>34</v>
      </c>
      <c r="D23" s="20" t="s">
        <v>35</v>
      </c>
      <c r="E23" s="21" t="s">
        <v>36</v>
      </c>
      <c r="F23" s="8"/>
      <c r="G23" s="1"/>
    </row>
    <row r="24">
      <c r="A24" s="1"/>
      <c r="B24" s="22" t="s">
        <v>37</v>
      </c>
      <c r="C24" s="23" t="s">
        <v>26</v>
      </c>
      <c r="D24" s="23" t="s">
        <v>38</v>
      </c>
      <c r="E24" s="24" t="s">
        <v>39</v>
      </c>
      <c r="F24" s="8"/>
      <c r="G24" s="1"/>
    </row>
    <row r="25">
      <c r="A25" s="1"/>
      <c r="B25" s="25" t="s">
        <v>40</v>
      </c>
      <c r="C25" s="26" t="s">
        <v>23</v>
      </c>
      <c r="D25" s="26" t="s">
        <v>38</v>
      </c>
      <c r="E25" s="27" t="s">
        <v>41</v>
      </c>
      <c r="F25" s="8"/>
      <c r="G25" s="1"/>
    </row>
    <row r="26" ht="18.0" customHeight="1">
      <c r="A26" s="1"/>
      <c r="B26" s="28" t="s">
        <v>42</v>
      </c>
      <c r="C26" s="7"/>
      <c r="D26" s="7"/>
      <c r="E26" s="7"/>
      <c r="F26" s="8"/>
      <c r="G26" s="1"/>
    </row>
    <row r="27" ht="15.75" customHeight="1">
      <c r="A27" s="1"/>
      <c r="B27" s="1"/>
      <c r="C27" s="1"/>
      <c r="D27" s="1"/>
      <c r="E27" s="1"/>
      <c r="F27" s="1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23">
    <mergeCell ref="B1:F1"/>
    <mergeCell ref="B2:F2"/>
    <mergeCell ref="B4:F4"/>
    <mergeCell ref="C5:F5"/>
    <mergeCell ref="C6:F6"/>
    <mergeCell ref="C7:F7"/>
    <mergeCell ref="C8:F8"/>
    <mergeCell ref="C9:F9"/>
    <mergeCell ref="C10:F10"/>
    <mergeCell ref="C11:F11"/>
    <mergeCell ref="B13:F13"/>
    <mergeCell ref="D14:F14"/>
    <mergeCell ref="D15:F15"/>
    <mergeCell ref="D16:F16"/>
    <mergeCell ref="E25:F25"/>
    <mergeCell ref="B26:F26"/>
    <mergeCell ref="D17:F17"/>
    <mergeCell ref="D18:F18"/>
    <mergeCell ref="D19:F19"/>
    <mergeCell ref="D20:F20"/>
    <mergeCell ref="B22:F22"/>
    <mergeCell ref="E23:F23"/>
    <mergeCell ref="E24:F2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5" width="14.0"/>
    <col customWidth="1" min="6" max="7" width="16.0"/>
    <col customWidth="1" min="8" max="8" width="18.0"/>
    <col customWidth="1" min="9" max="9" width="22.43"/>
    <col customWidth="1" min="10" max="26" width="8.71"/>
  </cols>
  <sheetData>
    <row r="1" ht="25.5" customHeight="1">
      <c r="A1" s="1"/>
      <c r="B1" s="29" t="s">
        <v>43</v>
      </c>
      <c r="C1" s="3"/>
      <c r="D1" s="3"/>
      <c r="E1" s="3"/>
      <c r="F1" s="3"/>
      <c r="G1" s="3"/>
      <c r="H1" s="3"/>
      <c r="I1" s="4"/>
      <c r="J1" s="1"/>
    </row>
    <row r="2" ht="15.75" customHeight="1">
      <c r="A2" s="1"/>
      <c r="B2" s="30" t="s">
        <v>44</v>
      </c>
      <c r="C2" s="3"/>
      <c r="D2" s="3"/>
      <c r="E2" s="3"/>
      <c r="F2" s="3"/>
      <c r="G2" s="3"/>
      <c r="H2" s="3"/>
      <c r="I2" s="4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 ht="19.5" customHeight="1">
      <c r="A4" s="1"/>
      <c r="B4" s="13" t="s">
        <v>12</v>
      </c>
      <c r="C4" s="13" t="s">
        <v>11</v>
      </c>
      <c r="D4" s="13" t="s">
        <v>45</v>
      </c>
      <c r="E4" s="13" t="s">
        <v>46</v>
      </c>
      <c r="F4" s="13" t="s">
        <v>47</v>
      </c>
      <c r="G4" s="13" t="s">
        <v>48</v>
      </c>
      <c r="H4" s="13" t="s">
        <v>49</v>
      </c>
      <c r="I4" s="13" t="s">
        <v>50</v>
      </c>
      <c r="J4" s="1"/>
    </row>
    <row r="5" ht="15.75" customHeight="1">
      <c r="A5" s="1"/>
      <c r="B5" s="17">
        <v>1.0</v>
      </c>
      <c r="C5" s="17" t="s">
        <v>14</v>
      </c>
      <c r="D5" s="31">
        <v>1500.0</v>
      </c>
      <c r="E5" s="31">
        <v>1500.0</v>
      </c>
      <c r="F5" s="32">
        <f t="shared" ref="F5:F40" si="1">D5+E5</f>
        <v>3000</v>
      </c>
      <c r="G5" s="32">
        <v>0.0</v>
      </c>
      <c r="H5" s="32">
        <f t="shared" ref="H5:H40" si="2">F5-G5</f>
        <v>3000</v>
      </c>
      <c r="I5" s="32">
        <f>H5</f>
        <v>3000</v>
      </c>
      <c r="J5" s="1"/>
    </row>
    <row r="6" ht="15.75" customHeight="1">
      <c r="A6" s="1"/>
      <c r="B6" s="15">
        <v>2.0</v>
      </c>
      <c r="C6" s="15" t="s">
        <v>51</v>
      </c>
      <c r="D6" s="33">
        <v>1500.0</v>
      </c>
      <c r="E6" s="33">
        <v>1500.0</v>
      </c>
      <c r="F6" s="34">
        <f t="shared" si="1"/>
        <v>3000</v>
      </c>
      <c r="G6" s="34">
        <v>0.0</v>
      </c>
      <c r="H6" s="34">
        <f t="shared" si="2"/>
        <v>3000</v>
      </c>
      <c r="I6" s="34">
        <f t="shared" ref="I6:I40" si="3">I5+H6</f>
        <v>6000</v>
      </c>
      <c r="J6" s="1"/>
    </row>
    <row r="7" ht="15.75" customHeight="1">
      <c r="A7" s="1"/>
      <c r="B7" s="17">
        <v>3.0</v>
      </c>
      <c r="C7" s="17" t="s">
        <v>52</v>
      </c>
      <c r="D7" s="31">
        <v>1500.0</v>
      </c>
      <c r="E7" s="31">
        <v>1500.0</v>
      </c>
      <c r="F7" s="32">
        <f t="shared" si="1"/>
        <v>3000</v>
      </c>
      <c r="G7" s="35">
        <v>8000.0</v>
      </c>
      <c r="H7" s="32">
        <f t="shared" si="2"/>
        <v>-5000</v>
      </c>
      <c r="I7" s="32">
        <f t="shared" si="3"/>
        <v>1000</v>
      </c>
      <c r="J7" s="1"/>
    </row>
    <row r="8" ht="15.75" customHeight="1">
      <c r="A8" s="1"/>
      <c r="B8" s="15">
        <v>4.0</v>
      </c>
      <c r="C8" s="15" t="s">
        <v>53</v>
      </c>
      <c r="D8" s="33">
        <v>1500.0</v>
      </c>
      <c r="E8" s="33">
        <v>1500.0</v>
      </c>
      <c r="F8" s="34">
        <f t="shared" si="1"/>
        <v>3000</v>
      </c>
      <c r="G8" s="34">
        <v>0.0</v>
      </c>
      <c r="H8" s="34">
        <f t="shared" si="2"/>
        <v>3000</v>
      </c>
      <c r="I8" s="34">
        <f t="shared" si="3"/>
        <v>4000</v>
      </c>
      <c r="J8" s="1"/>
    </row>
    <row r="9" ht="15.75" customHeight="1">
      <c r="A9" s="1"/>
      <c r="B9" s="17">
        <v>5.0</v>
      </c>
      <c r="C9" s="17" t="s">
        <v>54</v>
      </c>
      <c r="D9" s="31">
        <v>1500.0</v>
      </c>
      <c r="E9" s="31">
        <v>1500.0</v>
      </c>
      <c r="F9" s="32">
        <f t="shared" si="1"/>
        <v>3000</v>
      </c>
      <c r="G9" s="35">
        <v>7000.0</v>
      </c>
      <c r="H9" s="32">
        <f t="shared" si="2"/>
        <v>-4000</v>
      </c>
      <c r="I9" s="32">
        <f t="shared" si="3"/>
        <v>0</v>
      </c>
      <c r="J9" s="1"/>
    </row>
    <row r="10" ht="15.75" customHeight="1">
      <c r="A10" s="1"/>
      <c r="B10" s="15">
        <v>6.0</v>
      </c>
      <c r="C10" s="15" t="s">
        <v>55</v>
      </c>
      <c r="D10" s="33">
        <v>1500.0</v>
      </c>
      <c r="E10" s="33">
        <v>1500.0</v>
      </c>
      <c r="F10" s="34">
        <f t="shared" si="1"/>
        <v>3000</v>
      </c>
      <c r="G10" s="34">
        <v>0.0</v>
      </c>
      <c r="H10" s="34">
        <f t="shared" si="2"/>
        <v>3000</v>
      </c>
      <c r="I10" s="34">
        <f t="shared" si="3"/>
        <v>3000</v>
      </c>
      <c r="J10" s="1"/>
    </row>
    <row r="11" ht="15.75" customHeight="1">
      <c r="A11" s="1"/>
      <c r="B11" s="17">
        <v>7.0</v>
      </c>
      <c r="C11" s="17" t="s">
        <v>56</v>
      </c>
      <c r="D11" s="31">
        <v>1500.0</v>
      </c>
      <c r="E11" s="31">
        <v>1500.0</v>
      </c>
      <c r="F11" s="32">
        <f t="shared" si="1"/>
        <v>3000</v>
      </c>
      <c r="G11" s="35">
        <v>9000.0</v>
      </c>
      <c r="H11" s="32">
        <f t="shared" si="2"/>
        <v>-6000</v>
      </c>
      <c r="I11" s="32">
        <f t="shared" si="3"/>
        <v>-3000</v>
      </c>
      <c r="J11" s="1"/>
    </row>
    <row r="12" ht="15.75" customHeight="1">
      <c r="A12" s="1"/>
      <c r="B12" s="15">
        <v>8.0</v>
      </c>
      <c r="C12" s="15" t="s">
        <v>57</v>
      </c>
      <c r="D12" s="33">
        <v>1500.0</v>
      </c>
      <c r="E12" s="33">
        <v>1500.0</v>
      </c>
      <c r="F12" s="34">
        <f t="shared" si="1"/>
        <v>3000</v>
      </c>
      <c r="G12" s="34">
        <v>0.0</v>
      </c>
      <c r="H12" s="34">
        <f t="shared" si="2"/>
        <v>3000</v>
      </c>
      <c r="I12" s="34">
        <f t="shared" si="3"/>
        <v>0</v>
      </c>
      <c r="J12" s="1"/>
    </row>
    <row r="13" ht="15.75" customHeight="1">
      <c r="A13" s="1"/>
      <c r="B13" s="17">
        <v>9.0</v>
      </c>
      <c r="C13" s="17" t="s">
        <v>58</v>
      </c>
      <c r="D13" s="31">
        <v>1500.0</v>
      </c>
      <c r="E13" s="31">
        <v>1500.0</v>
      </c>
      <c r="F13" s="32">
        <f t="shared" si="1"/>
        <v>3000</v>
      </c>
      <c r="G13" s="35">
        <v>4000.0</v>
      </c>
      <c r="H13" s="32">
        <f t="shared" si="2"/>
        <v>-1000</v>
      </c>
      <c r="I13" s="32">
        <f t="shared" si="3"/>
        <v>-1000</v>
      </c>
      <c r="J13" s="1"/>
    </row>
    <row r="14" ht="15.75" customHeight="1">
      <c r="A14" s="1"/>
      <c r="B14" s="15">
        <v>10.0</v>
      </c>
      <c r="C14" s="15" t="s">
        <v>59</v>
      </c>
      <c r="D14" s="33">
        <v>1500.0</v>
      </c>
      <c r="E14" s="33">
        <v>1500.0</v>
      </c>
      <c r="F14" s="34">
        <f t="shared" si="1"/>
        <v>3000</v>
      </c>
      <c r="G14" s="34">
        <v>0.0</v>
      </c>
      <c r="H14" s="34">
        <f t="shared" si="2"/>
        <v>3000</v>
      </c>
      <c r="I14" s="34">
        <f t="shared" si="3"/>
        <v>2000</v>
      </c>
      <c r="J14" s="1"/>
    </row>
    <row r="15" ht="15.75" customHeight="1">
      <c r="A15" s="1"/>
      <c r="B15" s="36" t="s">
        <v>60</v>
      </c>
      <c r="C15" s="17" t="s">
        <v>17</v>
      </c>
      <c r="D15" s="31">
        <v>1500.0</v>
      </c>
      <c r="E15" s="31">
        <v>1500.0</v>
      </c>
      <c r="F15" s="32">
        <f t="shared" si="1"/>
        <v>3000</v>
      </c>
      <c r="G15" s="35">
        <v>2000.0</v>
      </c>
      <c r="H15" s="32">
        <f t="shared" si="2"/>
        <v>1000</v>
      </c>
      <c r="I15" s="37">
        <f t="shared" si="3"/>
        <v>3000</v>
      </c>
      <c r="J15" s="1"/>
    </row>
    <row r="16" ht="15.75" customHeight="1">
      <c r="A16" s="1"/>
      <c r="B16" s="15">
        <v>12.0</v>
      </c>
      <c r="C16" s="15" t="s">
        <v>61</v>
      </c>
      <c r="D16" s="33">
        <v>1500.0</v>
      </c>
      <c r="E16" s="33">
        <v>1500.0</v>
      </c>
      <c r="F16" s="34">
        <f t="shared" si="1"/>
        <v>3000</v>
      </c>
      <c r="G16" s="34">
        <v>0.0</v>
      </c>
      <c r="H16" s="34">
        <f t="shared" si="2"/>
        <v>3000</v>
      </c>
      <c r="I16" s="34">
        <f t="shared" si="3"/>
        <v>6000</v>
      </c>
      <c r="J16" s="1"/>
    </row>
    <row r="17" ht="15.75" customHeight="1">
      <c r="A17" s="1"/>
      <c r="B17" s="17">
        <v>13.0</v>
      </c>
      <c r="C17" s="17" t="s">
        <v>62</v>
      </c>
      <c r="D17" s="31">
        <v>1500.0</v>
      </c>
      <c r="E17" s="31">
        <v>1500.0</v>
      </c>
      <c r="F17" s="32">
        <f t="shared" si="1"/>
        <v>3000</v>
      </c>
      <c r="G17" s="32">
        <v>0.0</v>
      </c>
      <c r="H17" s="32">
        <f t="shared" si="2"/>
        <v>3000</v>
      </c>
      <c r="I17" s="32">
        <f t="shared" si="3"/>
        <v>9000</v>
      </c>
      <c r="J17" s="1"/>
    </row>
    <row r="18" ht="15.75" customHeight="1">
      <c r="A18" s="1"/>
      <c r="B18" s="15">
        <v>14.0</v>
      </c>
      <c r="C18" s="15" t="s">
        <v>63</v>
      </c>
      <c r="D18" s="33">
        <v>1500.0</v>
      </c>
      <c r="E18" s="33">
        <v>1500.0</v>
      </c>
      <c r="F18" s="34">
        <f t="shared" si="1"/>
        <v>3000</v>
      </c>
      <c r="G18" s="34">
        <v>0.0</v>
      </c>
      <c r="H18" s="34">
        <f t="shared" si="2"/>
        <v>3000</v>
      </c>
      <c r="I18" s="34">
        <f t="shared" si="3"/>
        <v>12000</v>
      </c>
      <c r="J18" s="1"/>
    </row>
    <row r="19" ht="15.75" customHeight="1">
      <c r="A19" s="1"/>
      <c r="B19" s="17">
        <v>15.0</v>
      </c>
      <c r="C19" s="17" t="s">
        <v>64</v>
      </c>
      <c r="D19" s="31">
        <v>1500.0</v>
      </c>
      <c r="E19" s="31">
        <v>1500.0</v>
      </c>
      <c r="F19" s="32">
        <f t="shared" si="1"/>
        <v>3000</v>
      </c>
      <c r="G19" s="32">
        <v>0.0</v>
      </c>
      <c r="H19" s="32">
        <f t="shared" si="2"/>
        <v>3000</v>
      </c>
      <c r="I19" s="32">
        <f t="shared" si="3"/>
        <v>15000</v>
      </c>
      <c r="J19" s="1"/>
    </row>
    <row r="20" ht="15.75" customHeight="1">
      <c r="A20" s="1"/>
      <c r="B20" s="15">
        <v>16.0</v>
      </c>
      <c r="C20" s="15" t="s">
        <v>65</v>
      </c>
      <c r="D20" s="33">
        <v>1500.0</v>
      </c>
      <c r="E20" s="33">
        <v>1500.0</v>
      </c>
      <c r="F20" s="34">
        <f t="shared" si="1"/>
        <v>3000</v>
      </c>
      <c r="G20" s="34">
        <v>0.0</v>
      </c>
      <c r="H20" s="34">
        <f t="shared" si="2"/>
        <v>3000</v>
      </c>
      <c r="I20" s="34">
        <f t="shared" si="3"/>
        <v>18000</v>
      </c>
      <c r="J20" s="1"/>
    </row>
    <row r="21" ht="15.75" customHeight="1">
      <c r="A21" s="1"/>
      <c r="B21" s="17">
        <v>17.0</v>
      </c>
      <c r="C21" s="17" t="s">
        <v>66</v>
      </c>
      <c r="D21" s="31">
        <v>1500.0</v>
      </c>
      <c r="E21" s="31">
        <v>1500.0</v>
      </c>
      <c r="F21" s="32">
        <f t="shared" si="1"/>
        <v>3000</v>
      </c>
      <c r="G21" s="32">
        <v>0.0</v>
      </c>
      <c r="H21" s="32">
        <f t="shared" si="2"/>
        <v>3000</v>
      </c>
      <c r="I21" s="32">
        <f t="shared" si="3"/>
        <v>21000</v>
      </c>
      <c r="J21" s="1"/>
    </row>
    <row r="22" ht="15.75" customHeight="1">
      <c r="A22" s="1"/>
      <c r="B22" s="15">
        <v>18.0</v>
      </c>
      <c r="C22" s="15" t="s">
        <v>67</v>
      </c>
      <c r="D22" s="33">
        <v>1500.0</v>
      </c>
      <c r="E22" s="33">
        <v>1500.0</v>
      </c>
      <c r="F22" s="34">
        <f t="shared" si="1"/>
        <v>3000</v>
      </c>
      <c r="G22" s="34">
        <v>0.0</v>
      </c>
      <c r="H22" s="34">
        <f t="shared" si="2"/>
        <v>3000</v>
      </c>
      <c r="I22" s="34">
        <f t="shared" si="3"/>
        <v>24000</v>
      </c>
      <c r="J22" s="1"/>
    </row>
    <row r="23" ht="15.75" customHeight="1">
      <c r="A23" s="1"/>
      <c r="B23" s="17">
        <v>19.0</v>
      </c>
      <c r="C23" s="17" t="s">
        <v>68</v>
      </c>
      <c r="D23" s="31">
        <v>1500.0</v>
      </c>
      <c r="E23" s="31">
        <v>1500.0</v>
      </c>
      <c r="F23" s="32">
        <f t="shared" si="1"/>
        <v>3000</v>
      </c>
      <c r="G23" s="32">
        <v>0.0</v>
      </c>
      <c r="H23" s="32">
        <f t="shared" si="2"/>
        <v>3000</v>
      </c>
      <c r="I23" s="32">
        <f t="shared" si="3"/>
        <v>27000</v>
      </c>
      <c r="J23" s="1"/>
    </row>
    <row r="24" ht="15.75" customHeight="1">
      <c r="A24" s="1"/>
      <c r="B24" s="15">
        <v>20.0</v>
      </c>
      <c r="C24" s="15" t="s">
        <v>69</v>
      </c>
      <c r="D24" s="33">
        <v>1500.0</v>
      </c>
      <c r="E24" s="33">
        <v>1500.0</v>
      </c>
      <c r="F24" s="34">
        <f t="shared" si="1"/>
        <v>3000</v>
      </c>
      <c r="G24" s="34">
        <v>0.0</v>
      </c>
      <c r="H24" s="34">
        <f t="shared" si="2"/>
        <v>3000</v>
      </c>
      <c r="I24" s="34">
        <f t="shared" si="3"/>
        <v>30000</v>
      </c>
      <c r="J24" s="1"/>
    </row>
    <row r="25" ht="15.75" customHeight="1">
      <c r="A25" s="1"/>
      <c r="B25" s="17">
        <v>21.0</v>
      </c>
      <c r="C25" s="17" t="s">
        <v>70</v>
      </c>
      <c r="D25" s="31">
        <v>1500.0</v>
      </c>
      <c r="E25" s="31">
        <v>1500.0</v>
      </c>
      <c r="F25" s="32">
        <f t="shared" si="1"/>
        <v>3000</v>
      </c>
      <c r="G25" s="32">
        <v>0.0</v>
      </c>
      <c r="H25" s="32">
        <f t="shared" si="2"/>
        <v>3000</v>
      </c>
      <c r="I25" s="32">
        <f t="shared" si="3"/>
        <v>33000</v>
      </c>
      <c r="J25" s="1"/>
    </row>
    <row r="26" ht="15.75" customHeight="1">
      <c r="A26" s="1"/>
      <c r="B26" s="15">
        <v>22.0</v>
      </c>
      <c r="C26" s="15" t="s">
        <v>71</v>
      </c>
      <c r="D26" s="33">
        <v>1500.0</v>
      </c>
      <c r="E26" s="33">
        <v>1500.0</v>
      </c>
      <c r="F26" s="34">
        <f t="shared" si="1"/>
        <v>3000</v>
      </c>
      <c r="G26" s="34">
        <v>0.0</v>
      </c>
      <c r="H26" s="34">
        <f t="shared" si="2"/>
        <v>3000</v>
      </c>
      <c r="I26" s="34">
        <f t="shared" si="3"/>
        <v>36000</v>
      </c>
      <c r="J26" s="1"/>
    </row>
    <row r="27" ht="15.75" customHeight="1">
      <c r="A27" s="1"/>
      <c r="B27" s="17">
        <v>23.0</v>
      </c>
      <c r="C27" s="17" t="s">
        <v>72</v>
      </c>
      <c r="D27" s="31">
        <v>1500.0</v>
      </c>
      <c r="E27" s="31">
        <v>1500.0</v>
      </c>
      <c r="F27" s="32">
        <f t="shared" si="1"/>
        <v>3000</v>
      </c>
      <c r="G27" s="32">
        <v>0.0</v>
      </c>
      <c r="H27" s="32">
        <f t="shared" si="2"/>
        <v>3000</v>
      </c>
      <c r="I27" s="32">
        <f t="shared" si="3"/>
        <v>39000</v>
      </c>
      <c r="J27" s="1"/>
    </row>
    <row r="28" ht="15.75" customHeight="1">
      <c r="A28" s="1"/>
      <c r="B28" s="38" t="s">
        <v>73</v>
      </c>
      <c r="C28" s="15" t="s">
        <v>20</v>
      </c>
      <c r="D28" s="33">
        <v>1500.0</v>
      </c>
      <c r="E28" s="33">
        <v>1500.0</v>
      </c>
      <c r="F28" s="34">
        <f t="shared" si="1"/>
        <v>3000</v>
      </c>
      <c r="G28" s="34">
        <v>0.0</v>
      </c>
      <c r="H28" s="34">
        <f t="shared" si="2"/>
        <v>3000</v>
      </c>
      <c r="I28" s="37">
        <f t="shared" si="3"/>
        <v>42000</v>
      </c>
      <c r="J28" s="1"/>
    </row>
    <row r="29" ht="15.75" customHeight="1">
      <c r="A29" s="1"/>
      <c r="B29" s="17">
        <v>25.0</v>
      </c>
      <c r="C29" s="17" t="s">
        <v>74</v>
      </c>
      <c r="D29" s="31">
        <v>1500.0</v>
      </c>
      <c r="E29" s="31">
        <v>1500.0</v>
      </c>
      <c r="F29" s="32">
        <f t="shared" si="1"/>
        <v>3000</v>
      </c>
      <c r="G29" s="32">
        <v>0.0</v>
      </c>
      <c r="H29" s="32">
        <f t="shared" si="2"/>
        <v>3000</v>
      </c>
      <c r="I29" s="32">
        <f t="shared" si="3"/>
        <v>45000</v>
      </c>
      <c r="J29" s="1"/>
    </row>
    <row r="30" ht="15.75" customHeight="1">
      <c r="A30" s="1"/>
      <c r="B30" s="15">
        <v>26.0</v>
      </c>
      <c r="C30" s="15" t="s">
        <v>75</v>
      </c>
      <c r="D30" s="33">
        <v>1500.0</v>
      </c>
      <c r="E30" s="33">
        <v>1500.0</v>
      </c>
      <c r="F30" s="34">
        <f t="shared" si="1"/>
        <v>3000</v>
      </c>
      <c r="G30" s="34">
        <v>0.0</v>
      </c>
      <c r="H30" s="34">
        <f t="shared" si="2"/>
        <v>3000</v>
      </c>
      <c r="I30" s="34">
        <f t="shared" si="3"/>
        <v>48000</v>
      </c>
      <c r="J30" s="1"/>
    </row>
    <row r="31" ht="15.75" customHeight="1">
      <c r="A31" s="1"/>
      <c r="B31" s="17">
        <v>27.0</v>
      </c>
      <c r="C31" s="17" t="s">
        <v>76</v>
      </c>
      <c r="D31" s="31">
        <v>1500.0</v>
      </c>
      <c r="E31" s="31">
        <v>1500.0</v>
      </c>
      <c r="F31" s="32">
        <f t="shared" si="1"/>
        <v>3000</v>
      </c>
      <c r="G31" s="32">
        <v>0.0</v>
      </c>
      <c r="H31" s="32">
        <f t="shared" si="2"/>
        <v>3000</v>
      </c>
      <c r="I31" s="32">
        <f t="shared" si="3"/>
        <v>51000</v>
      </c>
      <c r="J31" s="1"/>
    </row>
    <row r="32" ht="15.75" customHeight="1">
      <c r="A32" s="1"/>
      <c r="B32" s="15">
        <v>28.0</v>
      </c>
      <c r="C32" s="15" t="s">
        <v>77</v>
      </c>
      <c r="D32" s="33">
        <v>1500.0</v>
      </c>
      <c r="E32" s="33">
        <v>1500.0</v>
      </c>
      <c r="F32" s="34">
        <f t="shared" si="1"/>
        <v>3000</v>
      </c>
      <c r="G32" s="34">
        <v>0.0</v>
      </c>
      <c r="H32" s="34">
        <f t="shared" si="2"/>
        <v>3000</v>
      </c>
      <c r="I32" s="34">
        <f t="shared" si="3"/>
        <v>54000</v>
      </c>
      <c r="J32" s="1"/>
    </row>
    <row r="33" ht="15.75" customHeight="1">
      <c r="A33" s="1"/>
      <c r="B33" s="17">
        <v>29.0</v>
      </c>
      <c r="C33" s="17" t="s">
        <v>78</v>
      </c>
      <c r="D33" s="31">
        <v>1500.0</v>
      </c>
      <c r="E33" s="31">
        <v>1500.0</v>
      </c>
      <c r="F33" s="32">
        <f t="shared" si="1"/>
        <v>3000</v>
      </c>
      <c r="G33" s="32">
        <v>0.0</v>
      </c>
      <c r="H33" s="32">
        <f t="shared" si="2"/>
        <v>3000</v>
      </c>
      <c r="I33" s="32">
        <f t="shared" si="3"/>
        <v>57000</v>
      </c>
      <c r="J33" s="1"/>
    </row>
    <row r="34" ht="15.75" customHeight="1">
      <c r="A34" s="1"/>
      <c r="B34" s="38" t="s">
        <v>79</v>
      </c>
      <c r="C34" s="15" t="s">
        <v>80</v>
      </c>
      <c r="D34" s="33">
        <v>1500.0</v>
      </c>
      <c r="E34" s="33">
        <v>1500.0</v>
      </c>
      <c r="F34" s="34">
        <f t="shared" si="1"/>
        <v>3000</v>
      </c>
      <c r="G34" s="34">
        <v>0.0</v>
      </c>
      <c r="H34" s="34">
        <f t="shared" si="2"/>
        <v>3000</v>
      </c>
      <c r="I34" s="37">
        <f t="shared" si="3"/>
        <v>60000</v>
      </c>
      <c r="J34" s="1"/>
    </row>
    <row r="35" ht="15.75" customHeight="1">
      <c r="A35" s="1"/>
      <c r="B35" s="17">
        <v>31.0</v>
      </c>
      <c r="C35" s="17" t="s">
        <v>81</v>
      </c>
      <c r="D35" s="31">
        <v>1500.0</v>
      </c>
      <c r="E35" s="31">
        <v>1500.0</v>
      </c>
      <c r="F35" s="32">
        <f t="shared" si="1"/>
        <v>3000</v>
      </c>
      <c r="G35" s="32">
        <v>0.0</v>
      </c>
      <c r="H35" s="32">
        <f t="shared" si="2"/>
        <v>3000</v>
      </c>
      <c r="I35" s="32">
        <f t="shared" si="3"/>
        <v>63000</v>
      </c>
      <c r="J35" s="1"/>
    </row>
    <row r="36" ht="15.75" customHeight="1">
      <c r="A36" s="1"/>
      <c r="B36" s="15">
        <v>32.0</v>
      </c>
      <c r="C36" s="15" t="s">
        <v>82</v>
      </c>
      <c r="D36" s="33">
        <v>1500.0</v>
      </c>
      <c r="E36" s="33">
        <v>1500.0</v>
      </c>
      <c r="F36" s="34">
        <f t="shared" si="1"/>
        <v>3000</v>
      </c>
      <c r="G36" s="34">
        <v>0.0</v>
      </c>
      <c r="H36" s="34">
        <f t="shared" si="2"/>
        <v>3000</v>
      </c>
      <c r="I36" s="34">
        <f t="shared" si="3"/>
        <v>66000</v>
      </c>
      <c r="J36" s="1"/>
    </row>
    <row r="37" ht="15.75" customHeight="1">
      <c r="A37" s="1"/>
      <c r="B37" s="17">
        <v>33.0</v>
      </c>
      <c r="C37" s="17" t="s">
        <v>83</v>
      </c>
      <c r="D37" s="31">
        <v>1500.0</v>
      </c>
      <c r="E37" s="31">
        <v>1500.0</v>
      </c>
      <c r="F37" s="32">
        <f t="shared" si="1"/>
        <v>3000</v>
      </c>
      <c r="G37" s="32">
        <v>0.0</v>
      </c>
      <c r="H37" s="32">
        <f t="shared" si="2"/>
        <v>3000</v>
      </c>
      <c r="I37" s="32">
        <f t="shared" si="3"/>
        <v>69000</v>
      </c>
      <c r="J37" s="1"/>
    </row>
    <row r="38" ht="15.75" customHeight="1">
      <c r="A38" s="1"/>
      <c r="B38" s="15">
        <v>34.0</v>
      </c>
      <c r="C38" s="15" t="s">
        <v>84</v>
      </c>
      <c r="D38" s="33">
        <v>1500.0</v>
      </c>
      <c r="E38" s="33">
        <v>1500.0</v>
      </c>
      <c r="F38" s="34">
        <f t="shared" si="1"/>
        <v>3000</v>
      </c>
      <c r="G38" s="34">
        <v>0.0</v>
      </c>
      <c r="H38" s="34">
        <f t="shared" si="2"/>
        <v>3000</v>
      </c>
      <c r="I38" s="34">
        <f t="shared" si="3"/>
        <v>72000</v>
      </c>
      <c r="J38" s="1"/>
    </row>
    <row r="39" ht="15.75" customHeight="1">
      <c r="A39" s="1"/>
      <c r="B39" s="17">
        <v>35.0</v>
      </c>
      <c r="C39" s="17" t="s">
        <v>85</v>
      </c>
      <c r="D39" s="31">
        <v>1500.0</v>
      </c>
      <c r="E39" s="31">
        <v>1500.0</v>
      </c>
      <c r="F39" s="32">
        <f t="shared" si="1"/>
        <v>3000</v>
      </c>
      <c r="G39" s="32">
        <v>0.0</v>
      </c>
      <c r="H39" s="32">
        <f t="shared" si="2"/>
        <v>3000</v>
      </c>
      <c r="I39" s="32">
        <f t="shared" si="3"/>
        <v>75000</v>
      </c>
      <c r="J39" s="1"/>
    </row>
    <row r="40" ht="15.75" customHeight="1">
      <c r="A40" s="1"/>
      <c r="B40" s="15">
        <v>36.0</v>
      </c>
      <c r="C40" s="15" t="s">
        <v>86</v>
      </c>
      <c r="D40" s="33">
        <v>1500.0</v>
      </c>
      <c r="E40" s="33">
        <v>1500.0</v>
      </c>
      <c r="F40" s="34">
        <f t="shared" si="1"/>
        <v>3000</v>
      </c>
      <c r="G40" s="34">
        <v>0.0</v>
      </c>
      <c r="H40" s="34">
        <f t="shared" si="2"/>
        <v>3000</v>
      </c>
      <c r="I40" s="34">
        <f t="shared" si="3"/>
        <v>78000</v>
      </c>
      <c r="J40" s="1"/>
    </row>
    <row r="41" ht="15.0" customHeight="1">
      <c r="A41" s="1"/>
      <c r="B41" s="6" t="s">
        <v>87</v>
      </c>
      <c r="C41" s="8"/>
      <c r="D41" s="39">
        <f t="shared" ref="D41:G41" si="4">SUM(D5:D40)</f>
        <v>54000</v>
      </c>
      <c r="E41" s="39">
        <f t="shared" si="4"/>
        <v>54000</v>
      </c>
      <c r="F41" s="39">
        <f t="shared" si="4"/>
        <v>108000</v>
      </c>
      <c r="G41" s="39">
        <f t="shared" si="4"/>
        <v>30000</v>
      </c>
      <c r="H41" s="40"/>
      <c r="I41" s="39">
        <f>I40</f>
        <v>78000</v>
      </c>
      <c r="J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8.0" customHeight="1">
      <c r="A43" s="1"/>
      <c r="B43" s="6" t="s">
        <v>88</v>
      </c>
      <c r="C43" s="7"/>
      <c r="D43" s="7"/>
      <c r="E43" s="7"/>
      <c r="F43" s="7"/>
      <c r="G43" s="7"/>
      <c r="H43" s="7"/>
      <c r="I43" s="8"/>
      <c r="J43" s="1"/>
    </row>
    <row r="44" ht="15.75" customHeight="1">
      <c r="A44" s="1"/>
      <c r="B44" s="26" t="s">
        <v>89</v>
      </c>
      <c r="C44" s="41" t="s">
        <v>90</v>
      </c>
      <c r="D44" s="7"/>
      <c r="E44" s="7"/>
      <c r="F44" s="7"/>
      <c r="G44" s="7"/>
      <c r="H44" s="8"/>
      <c r="I44" s="35">
        <v>8000.0</v>
      </c>
      <c r="J44" s="1"/>
    </row>
    <row r="45" ht="15.75" customHeight="1">
      <c r="A45" s="1"/>
      <c r="B45" s="26" t="s">
        <v>91</v>
      </c>
      <c r="C45" s="41" t="s">
        <v>92</v>
      </c>
      <c r="D45" s="7"/>
      <c r="E45" s="7"/>
      <c r="F45" s="7"/>
      <c r="G45" s="7"/>
      <c r="H45" s="8"/>
      <c r="I45" s="35">
        <v>7000.0</v>
      </c>
      <c r="J45" s="1"/>
    </row>
    <row r="46" ht="15.75" customHeight="1">
      <c r="A46" s="1"/>
      <c r="B46" s="26" t="s">
        <v>93</v>
      </c>
      <c r="C46" s="41" t="s">
        <v>94</v>
      </c>
      <c r="D46" s="7"/>
      <c r="E46" s="7"/>
      <c r="F46" s="7"/>
      <c r="G46" s="7"/>
      <c r="H46" s="8"/>
      <c r="I46" s="35">
        <v>9000.0</v>
      </c>
      <c r="J46" s="1"/>
    </row>
    <row r="47" ht="15.75" customHeight="1">
      <c r="A47" s="1"/>
      <c r="B47" s="26" t="s">
        <v>95</v>
      </c>
      <c r="C47" s="41" t="s">
        <v>96</v>
      </c>
      <c r="D47" s="7"/>
      <c r="E47" s="7"/>
      <c r="F47" s="7"/>
      <c r="G47" s="7"/>
      <c r="H47" s="8"/>
      <c r="I47" s="35">
        <v>4000.0</v>
      </c>
      <c r="J47" s="1"/>
    </row>
    <row r="48" ht="15.75" customHeight="1">
      <c r="A48" s="1"/>
      <c r="B48" s="26" t="s">
        <v>18</v>
      </c>
      <c r="C48" s="41" t="s">
        <v>97</v>
      </c>
      <c r="D48" s="7"/>
      <c r="E48" s="7"/>
      <c r="F48" s="7"/>
      <c r="G48" s="7"/>
      <c r="H48" s="8"/>
      <c r="I48" s="35">
        <v>2000.0</v>
      </c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9">
    <mergeCell ref="C47:H47"/>
    <mergeCell ref="C48:H48"/>
    <mergeCell ref="B1:I1"/>
    <mergeCell ref="B2:I2"/>
    <mergeCell ref="B41:C41"/>
    <mergeCell ref="B43:I43"/>
    <mergeCell ref="C44:H44"/>
    <mergeCell ref="C45:H45"/>
    <mergeCell ref="C46:H4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56.14"/>
    <col customWidth="1" min="3" max="3" width="11.14"/>
    <col customWidth="1" min="4" max="4" width="2.0"/>
    <col customWidth="1" min="5" max="5" width="34.71"/>
    <col customWidth="1" min="6" max="6" width="26.29"/>
    <col customWidth="1" min="7" max="26" width="8.71"/>
  </cols>
  <sheetData>
    <row r="1" ht="25.5" customHeight="1">
      <c r="A1" s="1"/>
      <c r="B1" s="42" t="s">
        <v>98</v>
      </c>
      <c r="C1" s="3"/>
      <c r="D1" s="3"/>
      <c r="E1" s="3"/>
      <c r="F1" s="4"/>
      <c r="G1" s="1"/>
    </row>
    <row r="2" ht="15.75" customHeight="1">
      <c r="A2" s="1"/>
      <c r="B2" s="5" t="s">
        <v>99</v>
      </c>
      <c r="C2" s="3"/>
      <c r="D2" s="3"/>
      <c r="E2" s="3"/>
      <c r="F2" s="4"/>
      <c r="G2" s="1"/>
    </row>
    <row r="3" ht="7.5" customHeight="1">
      <c r="A3" s="1"/>
      <c r="B3" s="1"/>
      <c r="C3" s="1"/>
      <c r="D3" s="1"/>
      <c r="E3" s="1"/>
      <c r="F3" s="1"/>
      <c r="G3" s="1"/>
    </row>
    <row r="4" ht="21.75" customHeight="1">
      <c r="A4" s="1"/>
      <c r="B4" s="43" t="s">
        <v>100</v>
      </c>
      <c r="C4" s="8"/>
      <c r="D4" s="1"/>
      <c r="E4" s="44" t="s">
        <v>101</v>
      </c>
      <c r="F4" s="8"/>
      <c r="G4" s="1"/>
    </row>
    <row r="5" ht="18.0" customHeight="1">
      <c r="A5" s="1"/>
      <c r="B5" s="9" t="s">
        <v>102</v>
      </c>
      <c r="C5" s="15" t="s">
        <v>103</v>
      </c>
      <c r="D5" s="1"/>
      <c r="E5" s="45" t="s">
        <v>102</v>
      </c>
      <c r="F5" s="46" t="s">
        <v>103</v>
      </c>
      <c r="G5" s="1"/>
    </row>
    <row r="6" ht="18.0" customHeight="1">
      <c r="A6" s="1"/>
      <c r="B6" s="11" t="s">
        <v>104</v>
      </c>
      <c r="C6" s="47" t="s">
        <v>105</v>
      </c>
      <c r="D6" s="1"/>
      <c r="E6" s="48" t="s">
        <v>104</v>
      </c>
      <c r="F6" s="23" t="s">
        <v>106</v>
      </c>
      <c r="G6" s="1"/>
    </row>
    <row r="7" ht="6.0" customHeight="1">
      <c r="A7" s="1"/>
      <c r="B7" s="49"/>
      <c r="C7" s="49"/>
      <c r="D7" s="1"/>
      <c r="E7" s="49"/>
      <c r="F7" s="49"/>
      <c r="G7" s="1"/>
    </row>
    <row r="8" ht="18.0" customHeight="1">
      <c r="A8" s="1"/>
      <c r="B8" s="11" t="s">
        <v>107</v>
      </c>
      <c r="C8" s="17" t="s">
        <v>108</v>
      </c>
      <c r="D8" s="1"/>
      <c r="E8" s="48" t="s">
        <v>107</v>
      </c>
      <c r="F8" s="23" t="s">
        <v>109</v>
      </c>
      <c r="G8" s="1"/>
    </row>
    <row r="9" ht="18.0" customHeight="1">
      <c r="A9" s="1"/>
      <c r="B9" s="9" t="s">
        <v>110</v>
      </c>
      <c r="C9" s="15" t="s">
        <v>111</v>
      </c>
      <c r="D9" s="1"/>
      <c r="E9" s="45" t="s">
        <v>110</v>
      </c>
      <c r="F9" s="46" t="s">
        <v>112</v>
      </c>
      <c r="G9" s="1"/>
    </row>
    <row r="10" ht="18.0" customHeight="1">
      <c r="A10" s="1"/>
      <c r="B10" s="11" t="s">
        <v>113</v>
      </c>
      <c r="C10" s="17" t="s">
        <v>114</v>
      </c>
      <c r="D10" s="1"/>
      <c r="E10" s="48" t="s">
        <v>113</v>
      </c>
      <c r="F10" s="23" t="s">
        <v>115</v>
      </c>
      <c r="G10" s="1"/>
    </row>
    <row r="11" ht="6.0" customHeight="1">
      <c r="A11" s="1"/>
      <c r="B11" s="49"/>
      <c r="C11" s="49"/>
      <c r="D11" s="1"/>
      <c r="E11" s="49"/>
      <c r="F11" s="49"/>
      <c r="G11" s="1"/>
    </row>
    <row r="12" ht="18.0" customHeight="1">
      <c r="A12" s="1"/>
      <c r="B12" s="11" t="s">
        <v>116</v>
      </c>
      <c r="C12" s="17" t="s">
        <v>117</v>
      </c>
      <c r="D12" s="1"/>
      <c r="E12" s="48" t="s">
        <v>116</v>
      </c>
      <c r="F12" s="23" t="s">
        <v>118</v>
      </c>
      <c r="G12" s="1"/>
    </row>
    <row r="13" ht="18.0" customHeight="1">
      <c r="A13" s="1"/>
      <c r="B13" s="9" t="s">
        <v>119</v>
      </c>
      <c r="C13" s="15" t="s">
        <v>23</v>
      </c>
      <c r="D13" s="1"/>
      <c r="E13" s="45" t="s">
        <v>119</v>
      </c>
      <c r="F13" s="46" t="s">
        <v>120</v>
      </c>
      <c r="G13" s="1"/>
    </row>
    <row r="14" ht="18.0" customHeight="1">
      <c r="A14" s="1"/>
      <c r="B14" s="11" t="s">
        <v>121</v>
      </c>
      <c r="C14" s="17" t="s">
        <v>26</v>
      </c>
      <c r="D14" s="1"/>
      <c r="E14" s="48" t="s">
        <v>121</v>
      </c>
      <c r="F14" s="23" t="s">
        <v>122</v>
      </c>
      <c r="G14" s="1"/>
    </row>
    <row r="15" ht="18.0" customHeight="1">
      <c r="A15" s="1"/>
      <c r="B15" s="9" t="s">
        <v>123</v>
      </c>
      <c r="C15" s="15" t="s">
        <v>29</v>
      </c>
      <c r="D15" s="1"/>
      <c r="E15" s="45" t="s">
        <v>123</v>
      </c>
      <c r="F15" s="46" t="s">
        <v>124</v>
      </c>
      <c r="G15" s="1"/>
    </row>
    <row r="16" ht="6.0" customHeight="1">
      <c r="A16" s="1"/>
      <c r="B16" s="49"/>
      <c r="C16" s="49"/>
      <c r="D16" s="1"/>
      <c r="E16" s="49"/>
      <c r="F16" s="49"/>
      <c r="G16" s="1"/>
    </row>
    <row r="17" ht="18.0" customHeight="1">
      <c r="A17" s="1"/>
      <c r="B17" s="9" t="s">
        <v>125</v>
      </c>
      <c r="C17" s="15" t="s">
        <v>126</v>
      </c>
      <c r="D17" s="1"/>
      <c r="E17" s="45" t="s">
        <v>125</v>
      </c>
      <c r="F17" s="46" t="s">
        <v>127</v>
      </c>
      <c r="G17" s="1"/>
    </row>
    <row r="18" ht="18.0" customHeight="1">
      <c r="A18" s="1"/>
      <c r="B18" s="11" t="s">
        <v>128</v>
      </c>
      <c r="C18" s="17" t="s">
        <v>129</v>
      </c>
      <c r="D18" s="1"/>
      <c r="E18" s="48" t="s">
        <v>128</v>
      </c>
      <c r="F18" s="23" t="s">
        <v>130</v>
      </c>
      <c r="G18" s="1"/>
    </row>
    <row r="19">
      <c r="A19" s="1"/>
      <c r="B19" s="1"/>
      <c r="C19" s="1"/>
      <c r="D19" s="1"/>
      <c r="E19" s="1"/>
      <c r="F19" s="1"/>
      <c r="G19" s="1"/>
    </row>
    <row r="20">
      <c r="A20" s="1"/>
      <c r="B20" s="1"/>
      <c r="C20" s="1"/>
      <c r="D20" s="1"/>
      <c r="E20" s="1"/>
      <c r="F20" s="1"/>
      <c r="G20" s="1"/>
    </row>
    <row r="21" ht="48.0" customHeight="1">
      <c r="A21" s="1"/>
      <c r="B21" s="50" t="s">
        <v>131</v>
      </c>
      <c r="C21" s="7"/>
      <c r="D21" s="7"/>
      <c r="E21" s="7"/>
      <c r="F21" s="8"/>
      <c r="G21" s="1"/>
    </row>
    <row r="22" ht="15.75" customHeight="1">
      <c r="A22" s="1"/>
      <c r="B22" s="1"/>
      <c r="C22" s="1"/>
      <c r="D22" s="1"/>
      <c r="E22" s="1"/>
      <c r="F22" s="1"/>
      <c r="G22" s="1"/>
    </row>
    <row r="23" ht="15.75" customHeight="1">
      <c r="A23" s="1"/>
      <c r="B23" s="1"/>
      <c r="C23" s="1"/>
      <c r="D23" s="1"/>
      <c r="E23" s="1"/>
      <c r="F23" s="1"/>
      <c r="G23" s="1"/>
    </row>
    <row r="24" ht="15.75" customHeight="1">
      <c r="A24" s="1"/>
      <c r="B24" s="1"/>
      <c r="C24" s="1"/>
      <c r="D24" s="1"/>
      <c r="E24" s="1"/>
      <c r="F24" s="1"/>
      <c r="G24" s="1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1"/>
      <c r="C27" s="1"/>
      <c r="D27" s="1"/>
      <c r="E27" s="1"/>
      <c r="F27" s="1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1:F1"/>
    <mergeCell ref="B2:F2"/>
    <mergeCell ref="B4:C4"/>
    <mergeCell ref="E4:F4"/>
    <mergeCell ref="B21:F2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3" width="13.0"/>
    <col customWidth="1" min="4" max="4" width="37.29"/>
    <col customWidth="1" min="5" max="5" width="18.0"/>
    <col customWidth="1" min="6" max="6" width="2.0"/>
    <col customWidth="1" min="7" max="26" width="8.71"/>
  </cols>
  <sheetData>
    <row r="1" ht="25.5" customHeight="1">
      <c r="A1" s="1"/>
      <c r="B1" s="42" t="s">
        <v>132</v>
      </c>
      <c r="C1" s="3"/>
      <c r="D1" s="3"/>
      <c r="E1" s="4"/>
      <c r="F1" s="1"/>
    </row>
    <row r="2" ht="15.75" customHeight="1">
      <c r="A2" s="1"/>
      <c r="B2" s="5" t="s">
        <v>133</v>
      </c>
      <c r="C2" s="3"/>
      <c r="D2" s="3"/>
      <c r="E2" s="4"/>
      <c r="F2" s="1"/>
    </row>
    <row r="3" ht="7.5" customHeight="1">
      <c r="A3" s="1"/>
      <c r="B3" s="1"/>
      <c r="C3" s="1"/>
      <c r="D3" s="1"/>
      <c r="E3" s="1"/>
      <c r="F3" s="1"/>
    </row>
    <row r="4" ht="19.5" customHeight="1">
      <c r="A4" s="1"/>
      <c r="B4" s="13" t="s">
        <v>134</v>
      </c>
      <c r="C4" s="13" t="s">
        <v>135</v>
      </c>
      <c r="D4" s="13" t="s">
        <v>136</v>
      </c>
      <c r="E4" s="13" t="s">
        <v>137</v>
      </c>
      <c r="F4" s="1"/>
    </row>
    <row r="5">
      <c r="A5" s="1"/>
      <c r="B5" s="26" t="s">
        <v>138</v>
      </c>
      <c r="C5" s="51" t="s">
        <v>139</v>
      </c>
      <c r="D5" s="25" t="s">
        <v>140</v>
      </c>
      <c r="E5" s="26" t="s">
        <v>141</v>
      </c>
      <c r="F5" s="1"/>
    </row>
    <row r="6">
      <c r="A6" s="1"/>
      <c r="B6" s="26" t="s">
        <v>14</v>
      </c>
      <c r="C6" s="51" t="s">
        <v>139</v>
      </c>
      <c r="D6" s="25" t="s">
        <v>142</v>
      </c>
      <c r="E6" s="26" t="s">
        <v>143</v>
      </c>
      <c r="F6" s="1"/>
    </row>
    <row r="7">
      <c r="A7" s="1"/>
      <c r="B7" s="15" t="s">
        <v>14</v>
      </c>
      <c r="C7" s="52" t="s">
        <v>144</v>
      </c>
      <c r="D7" s="53" t="s">
        <v>145</v>
      </c>
      <c r="E7" s="15" t="s">
        <v>141</v>
      </c>
      <c r="F7" s="1"/>
    </row>
    <row r="8">
      <c r="A8" s="1"/>
      <c r="B8" s="15" t="s">
        <v>14</v>
      </c>
      <c r="C8" s="52" t="s">
        <v>144</v>
      </c>
      <c r="D8" s="53" t="s">
        <v>146</v>
      </c>
      <c r="E8" s="15" t="s">
        <v>147</v>
      </c>
      <c r="F8" s="1"/>
    </row>
    <row r="9" ht="21.75" customHeight="1">
      <c r="A9" s="1"/>
      <c r="B9" s="26" t="s">
        <v>51</v>
      </c>
      <c r="C9" s="54" t="s">
        <v>144</v>
      </c>
      <c r="D9" s="25" t="s">
        <v>148</v>
      </c>
      <c r="E9" s="26" t="s">
        <v>147</v>
      </c>
      <c r="F9" s="1"/>
    </row>
    <row r="10" ht="21.75" customHeight="1">
      <c r="A10" s="1"/>
      <c r="B10" s="17" t="s">
        <v>52</v>
      </c>
      <c r="C10" s="55" t="s">
        <v>144</v>
      </c>
      <c r="D10" s="56" t="s">
        <v>149</v>
      </c>
      <c r="E10" s="17" t="s">
        <v>141</v>
      </c>
      <c r="F10" s="1"/>
    </row>
    <row r="11" ht="21.75" customHeight="1">
      <c r="A11" s="1"/>
      <c r="B11" s="17" t="s">
        <v>53</v>
      </c>
      <c r="C11" s="55" t="s">
        <v>144</v>
      </c>
      <c r="D11" s="56" t="s">
        <v>150</v>
      </c>
      <c r="E11" s="17" t="s">
        <v>143</v>
      </c>
      <c r="F11" s="1"/>
    </row>
    <row r="12" ht="21.75" customHeight="1">
      <c r="A12" s="1"/>
      <c r="B12" s="15" t="s">
        <v>56</v>
      </c>
      <c r="C12" s="52" t="s">
        <v>144</v>
      </c>
      <c r="D12" s="53" t="s">
        <v>151</v>
      </c>
      <c r="E12" s="15" t="s">
        <v>141</v>
      </c>
      <c r="F12" s="1"/>
    </row>
    <row r="13" ht="21.75" customHeight="1">
      <c r="A13" s="1"/>
      <c r="B13" s="23" t="s">
        <v>17</v>
      </c>
      <c r="C13" s="57" t="s">
        <v>144</v>
      </c>
      <c r="D13" s="22" t="s">
        <v>152</v>
      </c>
      <c r="E13" s="23" t="s">
        <v>141</v>
      </c>
      <c r="F13" s="1"/>
    </row>
    <row r="14" ht="21.75" customHeight="1">
      <c r="A14" s="1"/>
      <c r="B14" s="17" t="s">
        <v>17</v>
      </c>
      <c r="C14" s="55" t="s">
        <v>144</v>
      </c>
      <c r="D14" s="56" t="s">
        <v>153</v>
      </c>
      <c r="E14" s="17" t="s">
        <v>147</v>
      </c>
      <c r="F14" s="1"/>
    </row>
    <row r="15" ht="21.75" customHeight="1">
      <c r="A15" s="1"/>
      <c r="B15" s="17" t="s">
        <v>61</v>
      </c>
      <c r="C15" s="55" t="s">
        <v>144</v>
      </c>
      <c r="D15" s="56" t="s">
        <v>154</v>
      </c>
      <c r="E15" s="17" t="s">
        <v>143</v>
      </c>
      <c r="F15" s="1"/>
    </row>
    <row r="16">
      <c r="A16" s="1"/>
      <c r="B16" s="23" t="s">
        <v>20</v>
      </c>
      <c r="C16" s="57" t="s">
        <v>144</v>
      </c>
      <c r="D16" s="22" t="s">
        <v>155</v>
      </c>
      <c r="E16" s="23" t="s">
        <v>141</v>
      </c>
      <c r="F16" s="1"/>
    </row>
    <row r="17" ht="21.75" customHeight="1">
      <c r="A17" s="1"/>
      <c r="B17" s="15" t="s">
        <v>74</v>
      </c>
      <c r="C17" s="52" t="s">
        <v>144</v>
      </c>
      <c r="D17" s="53" t="s">
        <v>156</v>
      </c>
      <c r="E17" s="15" t="s">
        <v>141</v>
      </c>
      <c r="F17" s="1"/>
    </row>
    <row r="18" ht="21.75" customHeight="1">
      <c r="A18" s="1"/>
      <c r="B18" s="23" t="s">
        <v>78</v>
      </c>
      <c r="C18" s="57" t="s">
        <v>144</v>
      </c>
      <c r="D18" s="22" t="s">
        <v>157</v>
      </c>
      <c r="E18" s="23" t="s">
        <v>143</v>
      </c>
      <c r="F18" s="1"/>
    </row>
    <row r="19" ht="21.75" customHeight="1">
      <c r="A19" s="1"/>
      <c r="B19" s="23" t="s">
        <v>80</v>
      </c>
      <c r="C19" s="57" t="s">
        <v>144</v>
      </c>
      <c r="D19" s="22" t="s">
        <v>158</v>
      </c>
      <c r="E19" s="23" t="s">
        <v>147</v>
      </c>
      <c r="F19" s="1"/>
    </row>
    <row r="20" ht="21.75" customHeight="1">
      <c r="A20" s="1"/>
      <c r="B20" s="15" t="s">
        <v>85</v>
      </c>
      <c r="C20" s="52" t="s">
        <v>144</v>
      </c>
      <c r="D20" s="53" t="s">
        <v>159</v>
      </c>
      <c r="E20" s="15" t="s">
        <v>143</v>
      </c>
      <c r="F20" s="1"/>
    </row>
    <row r="21" ht="21.75" customHeight="1">
      <c r="A21" s="1"/>
      <c r="B21" s="17" t="s">
        <v>160</v>
      </c>
      <c r="C21" s="55" t="s">
        <v>144</v>
      </c>
      <c r="D21" s="56" t="s">
        <v>161</v>
      </c>
      <c r="E21" s="17" t="s">
        <v>143</v>
      </c>
      <c r="F21" s="1"/>
    </row>
    <row r="22" ht="21.75" customHeight="1">
      <c r="A22" s="1"/>
      <c r="B22" s="23" t="s">
        <v>162</v>
      </c>
      <c r="C22" s="57" t="s">
        <v>144</v>
      </c>
      <c r="D22" s="22" t="s">
        <v>163</v>
      </c>
      <c r="E22" s="23" t="s">
        <v>143</v>
      </c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2">
    <mergeCell ref="B1:E1"/>
    <mergeCell ref="B2:E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3" width="36.0"/>
    <col customWidth="1" min="4" max="4" width="22.0"/>
    <col customWidth="1" min="5" max="5" width="36.0"/>
    <col customWidth="1" min="6" max="6" width="2.0"/>
    <col customWidth="1" min="7" max="26" width="8.71"/>
  </cols>
  <sheetData>
    <row r="1" ht="25.5" customHeight="1">
      <c r="A1" s="1"/>
      <c r="B1" s="42" t="s">
        <v>164</v>
      </c>
      <c r="C1" s="3"/>
      <c r="D1" s="3"/>
      <c r="E1" s="4"/>
      <c r="F1" s="1"/>
    </row>
    <row r="2" ht="15.75" customHeight="1">
      <c r="A2" s="1"/>
      <c r="B2" s="5" t="s">
        <v>165</v>
      </c>
      <c r="C2" s="3"/>
      <c r="D2" s="3"/>
      <c r="E2" s="4"/>
      <c r="F2" s="1"/>
    </row>
    <row r="3" ht="7.5" customHeight="1">
      <c r="A3" s="1"/>
      <c r="B3" s="1"/>
      <c r="C3" s="1"/>
      <c r="D3" s="1"/>
      <c r="E3" s="1"/>
      <c r="F3" s="1"/>
    </row>
    <row r="4" ht="19.5" customHeight="1">
      <c r="A4" s="1"/>
      <c r="B4" s="13" t="s">
        <v>11</v>
      </c>
      <c r="C4" s="13" t="s">
        <v>166</v>
      </c>
      <c r="D4" s="13" t="s">
        <v>167</v>
      </c>
      <c r="E4" s="13" t="s">
        <v>168</v>
      </c>
      <c r="F4" s="1"/>
    </row>
    <row r="5" ht="51.75" customHeight="1">
      <c r="A5" s="1"/>
      <c r="B5" s="15" t="s">
        <v>169</v>
      </c>
      <c r="C5" s="53" t="s">
        <v>170</v>
      </c>
      <c r="D5" s="53" t="s">
        <v>171</v>
      </c>
      <c r="E5" s="53" t="s">
        <v>172</v>
      </c>
      <c r="F5" s="1"/>
    </row>
    <row r="6" ht="51.75" customHeight="1">
      <c r="A6" s="1"/>
      <c r="B6" s="17" t="s">
        <v>169</v>
      </c>
      <c r="C6" s="56" t="s">
        <v>173</v>
      </c>
      <c r="D6" s="56" t="s">
        <v>174</v>
      </c>
      <c r="E6" s="56" t="s">
        <v>175</v>
      </c>
      <c r="F6" s="1"/>
    </row>
    <row r="7" ht="51.75" customHeight="1">
      <c r="A7" s="1"/>
      <c r="B7" s="15" t="s">
        <v>169</v>
      </c>
      <c r="C7" s="53" t="s">
        <v>176</v>
      </c>
      <c r="D7" s="53" t="s">
        <v>177</v>
      </c>
      <c r="E7" s="53" t="s">
        <v>178</v>
      </c>
      <c r="F7" s="1"/>
    </row>
    <row r="8" ht="51.75" customHeight="1">
      <c r="A8" s="1"/>
      <c r="B8" s="17" t="s">
        <v>169</v>
      </c>
      <c r="C8" s="56" t="s">
        <v>179</v>
      </c>
      <c r="D8" s="56" t="s">
        <v>180</v>
      </c>
      <c r="E8" s="56" t="s">
        <v>181</v>
      </c>
      <c r="F8" s="1"/>
    </row>
    <row r="9" ht="51.75" customHeight="1">
      <c r="A9" s="1"/>
      <c r="B9" s="15" t="s">
        <v>169</v>
      </c>
      <c r="C9" s="53" t="s">
        <v>182</v>
      </c>
      <c r="D9" s="53" t="s">
        <v>183</v>
      </c>
      <c r="E9" s="53" t="s">
        <v>184</v>
      </c>
      <c r="F9" s="1"/>
    </row>
    <row r="10" ht="30.0" customHeight="1">
      <c r="A10" s="1"/>
      <c r="B10" s="11"/>
      <c r="C10" s="11"/>
      <c r="D10" s="11"/>
      <c r="E10" s="11"/>
      <c r="F10" s="1"/>
    </row>
    <row r="11" ht="30.0" customHeight="1">
      <c r="A11" s="1"/>
      <c r="B11" s="11"/>
      <c r="C11" s="11"/>
      <c r="D11" s="11"/>
      <c r="E11" s="11"/>
      <c r="F11" s="1"/>
    </row>
    <row r="12" ht="30.0" customHeight="1">
      <c r="A12" s="1"/>
      <c r="B12" s="11"/>
      <c r="C12" s="11"/>
      <c r="D12" s="11"/>
      <c r="E12" s="11"/>
      <c r="F12" s="1"/>
    </row>
    <row r="13" ht="30.0" customHeight="1">
      <c r="A13" s="1"/>
      <c r="B13" s="11"/>
      <c r="C13" s="11"/>
      <c r="D13" s="11"/>
      <c r="E13" s="11"/>
      <c r="F13" s="1"/>
    </row>
    <row r="14" ht="30.0" customHeight="1">
      <c r="A14" s="1"/>
      <c r="B14" s="58"/>
      <c r="C14" s="58"/>
      <c r="D14" s="58"/>
      <c r="E14" s="58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2">
    <mergeCell ref="B1:E1"/>
    <mergeCell ref="B2:E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30.0"/>
    <col customWidth="1" min="4" max="4" width="18.0"/>
    <col customWidth="1" min="5" max="5" width="2.0"/>
    <col customWidth="1" min="6" max="26" width="8.71"/>
  </cols>
  <sheetData>
    <row r="1" ht="25.5" customHeight="1">
      <c r="A1" s="1"/>
      <c r="B1" s="42" t="s">
        <v>185</v>
      </c>
      <c r="C1" s="3"/>
      <c r="D1" s="4"/>
      <c r="E1" s="1"/>
    </row>
    <row r="2" ht="15.75" customHeight="1">
      <c r="A2" s="1"/>
      <c r="B2" s="5" t="s">
        <v>186</v>
      </c>
      <c r="C2" s="3"/>
      <c r="D2" s="4"/>
      <c r="E2" s="1"/>
    </row>
    <row r="3" ht="7.5" customHeight="1">
      <c r="A3" s="1"/>
      <c r="B3" s="1"/>
      <c r="C3" s="1"/>
      <c r="D3" s="1"/>
      <c r="E3" s="1"/>
    </row>
    <row r="4" ht="19.5" customHeight="1">
      <c r="A4" s="1"/>
      <c r="B4" s="6" t="s">
        <v>187</v>
      </c>
      <c r="C4" s="7"/>
      <c r="D4" s="8"/>
      <c r="E4" s="1"/>
    </row>
    <row r="5" ht="15.0" customHeight="1">
      <c r="A5" s="1"/>
      <c r="B5" s="49"/>
      <c r="C5" s="49"/>
      <c r="D5" s="49"/>
      <c r="E5" s="1"/>
    </row>
    <row r="6" ht="27.75" customHeight="1">
      <c r="A6" s="1"/>
      <c r="B6" s="59"/>
      <c r="C6" s="7"/>
      <c r="D6" s="8"/>
      <c r="E6" s="1"/>
    </row>
    <row r="7" ht="19.5" customHeight="1">
      <c r="A7" s="1"/>
      <c r="B7" s="60" t="s">
        <v>188</v>
      </c>
      <c r="C7" s="7"/>
      <c r="D7" s="8"/>
      <c r="E7" s="1"/>
    </row>
    <row r="8" ht="13.5" customHeight="1">
      <c r="A8" s="1"/>
      <c r="B8" s="61" t="s">
        <v>189</v>
      </c>
      <c r="C8" s="7"/>
      <c r="D8" s="8"/>
      <c r="E8" s="1"/>
    </row>
    <row r="9" ht="27.75" customHeight="1">
      <c r="A9" s="1"/>
      <c r="B9" s="59"/>
      <c r="C9" s="7"/>
      <c r="D9" s="8"/>
      <c r="E9" s="1"/>
    </row>
    <row r="10" ht="19.5" customHeight="1">
      <c r="A10" s="1"/>
      <c r="B10" s="62" t="s">
        <v>190</v>
      </c>
      <c r="C10" s="7"/>
      <c r="D10" s="8"/>
      <c r="E10" s="1"/>
    </row>
    <row r="11" ht="13.5" customHeight="1">
      <c r="A11" s="1"/>
      <c r="B11" s="63" t="s">
        <v>191</v>
      </c>
      <c r="C11" s="7"/>
      <c r="D11" s="8"/>
      <c r="E11" s="1"/>
    </row>
    <row r="12" ht="27.75" customHeight="1">
      <c r="A12" s="1"/>
      <c r="B12" s="59"/>
      <c r="C12" s="7"/>
      <c r="D12" s="8"/>
      <c r="E12" s="1"/>
    </row>
    <row r="13" ht="19.5" customHeight="1">
      <c r="A13" s="1"/>
      <c r="B13" s="60" t="s">
        <v>192</v>
      </c>
      <c r="C13" s="7"/>
      <c r="D13" s="8"/>
      <c r="E13" s="1"/>
    </row>
    <row r="14" ht="13.5" customHeight="1">
      <c r="A14" s="1"/>
      <c r="B14" s="61" t="s">
        <v>193</v>
      </c>
      <c r="C14" s="7"/>
      <c r="D14" s="8"/>
      <c r="E14" s="1"/>
    </row>
    <row r="15" ht="27.75" customHeight="1">
      <c r="A15" s="1"/>
      <c r="B15" s="59"/>
      <c r="C15" s="7"/>
      <c r="D15" s="8"/>
      <c r="E15" s="1"/>
    </row>
    <row r="16" ht="19.5" customHeight="1">
      <c r="A16" s="1"/>
      <c r="B16" s="62" t="s">
        <v>194</v>
      </c>
      <c r="C16" s="7"/>
      <c r="D16" s="8"/>
      <c r="E16" s="1"/>
    </row>
    <row r="17" ht="15.0" customHeight="1">
      <c r="A17" s="1"/>
      <c r="B17" s="49"/>
      <c r="C17" s="49"/>
      <c r="D17" s="49"/>
      <c r="E17" s="1"/>
    </row>
    <row r="18" ht="27.75" customHeight="1">
      <c r="A18" s="1"/>
      <c r="B18" s="59"/>
      <c r="C18" s="7"/>
      <c r="D18" s="8"/>
      <c r="E18" s="1"/>
    </row>
    <row r="19" ht="19.5" customHeight="1">
      <c r="A19" s="1"/>
      <c r="B19" s="60" t="s">
        <v>195</v>
      </c>
      <c r="C19" s="7"/>
      <c r="D19" s="8"/>
      <c r="E19" s="1"/>
    </row>
    <row r="20" ht="15.0" customHeight="1">
      <c r="A20" s="1"/>
      <c r="B20" s="49"/>
      <c r="C20" s="49"/>
      <c r="D20" s="49"/>
      <c r="E20" s="1"/>
    </row>
    <row r="21" ht="27.75" customHeight="1">
      <c r="A21" s="1"/>
      <c r="B21" s="59"/>
      <c r="C21" s="7"/>
      <c r="D21" s="8"/>
      <c r="E21" s="1"/>
    </row>
    <row r="22" ht="19.5" customHeight="1">
      <c r="A22" s="1"/>
      <c r="B22" s="62" t="s">
        <v>196</v>
      </c>
      <c r="C22" s="7"/>
      <c r="D22" s="8"/>
      <c r="E22" s="1"/>
    </row>
    <row r="23" ht="15.0" customHeight="1">
      <c r="A23" s="1"/>
      <c r="B23" s="49"/>
      <c r="C23" s="49"/>
      <c r="D23" s="49"/>
      <c r="E23" s="1"/>
    </row>
    <row r="24" ht="27.75" customHeight="1">
      <c r="A24" s="1"/>
      <c r="B24" s="59"/>
      <c r="C24" s="7"/>
      <c r="D24" s="8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mergeCells count="19">
    <mergeCell ref="B1:D1"/>
    <mergeCell ref="B2:D2"/>
    <mergeCell ref="B4:D4"/>
    <mergeCell ref="B6:D6"/>
    <mergeCell ref="B7:D7"/>
    <mergeCell ref="B8:D8"/>
    <mergeCell ref="B9:D9"/>
    <mergeCell ref="B18:D18"/>
    <mergeCell ref="B19:D19"/>
    <mergeCell ref="B21:D21"/>
    <mergeCell ref="B22:D22"/>
    <mergeCell ref="B24:D24"/>
    <mergeCell ref="B10:D10"/>
    <mergeCell ref="B11:D11"/>
    <mergeCell ref="B12:D12"/>
    <mergeCell ref="B13:D13"/>
    <mergeCell ref="B14:D14"/>
    <mergeCell ref="B15:D15"/>
    <mergeCell ref="B16:D16"/>
  </mergeCells>
  <printOptions/>
  <pageMargins bottom="1.0" footer="0.0" header="0.0" left="0.75" right="0.75" top="1.0"/>
  <pageSetup paperSize="9" orientation="portrait"/>
  <drawing r:id="rId1"/>
</worksheet>
</file>